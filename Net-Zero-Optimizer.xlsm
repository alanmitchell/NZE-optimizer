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Support" sheetId="2" r:id="rId2"/>
  </sheets>
  <definedNames>
    <definedName name="energy_types">Support!$A$3:$A$4</definedName>
    <definedName name="opt_inputs">Model!$B$16:$B$19</definedName>
    <definedName name="pv_kW">Model!$B$16</definedName>
    <definedName name="pv_limit">Model!$D$21</definedName>
    <definedName name="site_energy">Model!$B$76</definedName>
    <definedName name="solver_adj" localSheetId="0" hidden="1">Model!$B$16:$B$19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Model!$B$17:$B$19</definedName>
    <definedName name="solver_lhs10" localSheetId="0" hidden="1">Model!$C$76</definedName>
    <definedName name="solver_lhs11" localSheetId="0" hidden="1">Model!$C$76</definedName>
    <definedName name="solver_lhs12" localSheetId="0" hidden="1">Model!$C$76</definedName>
    <definedName name="solver_lhs13" localSheetId="0" hidden="1">Model!$C$76</definedName>
    <definedName name="solver_lhs14" localSheetId="0" hidden="1">Model!$C$76</definedName>
    <definedName name="solver_lhs15" localSheetId="0" hidden="1">Model!$C$76</definedName>
    <definedName name="solver_lhs2" localSheetId="0" hidden="1">Model!$B$16</definedName>
    <definedName name="solver_lhs3" localSheetId="0" hidden="1">Model!$C$78</definedName>
    <definedName name="solver_lhs4" localSheetId="0" hidden="1">Model!$C$76</definedName>
    <definedName name="solver_lhs5" localSheetId="0" hidden="1">Model!$C$76</definedName>
    <definedName name="solver_lhs6" localSheetId="0" hidden="1">Model!$C$76</definedName>
    <definedName name="solver_lhs7" localSheetId="0" hidden="1">Model!$C$76</definedName>
    <definedName name="solver_lhs8" localSheetId="0" hidden="1">Model!$C$76</definedName>
    <definedName name="solver_lhs9" localSheetId="0" hidden="1">Model!$C$76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Model!$H$20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2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pv_limit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Model!$C$76</definedName>
    <definedName name="source_mult_elec">Support!$B$7</definedName>
    <definedName name="tot_cost">Model!$H$20</definedName>
    <definedName name="zero_energy_amt">Model!$C$78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D45" i="1" l="1"/>
  <c r="D78" i="1" l="1"/>
  <c r="D42" i="1" l="1"/>
  <c r="D32" i="1"/>
  <c r="B27" i="1"/>
  <c r="B26" i="1"/>
  <c r="B53" i="1" s="1"/>
  <c r="H17" i="1" l="1"/>
  <c r="C63" i="1"/>
  <c r="B75" i="1" l="1"/>
  <c r="C75" i="1" s="1"/>
  <c r="B74" i="1"/>
  <c r="C74" i="1" s="1"/>
  <c r="G33" i="1" l="1"/>
  <c r="B59" i="1"/>
  <c r="B57" i="1"/>
  <c r="H16" i="1"/>
  <c r="C64" i="1"/>
  <c r="B73" i="1"/>
  <c r="C73" i="1" s="1"/>
  <c r="C29" i="1"/>
  <c r="B56" i="1" s="1"/>
  <c r="H18" i="1"/>
  <c r="B54" i="1" l="1"/>
  <c r="B28" i="1"/>
  <c r="H19" i="1" s="1"/>
  <c r="B58" i="1"/>
  <c r="H20" i="1" l="1"/>
  <c r="B55" i="1"/>
  <c r="B60" i="1" s="1"/>
  <c r="C62" i="1" s="1"/>
  <c r="C65" i="1" l="1"/>
  <c r="C66" i="1" s="1"/>
  <c r="C67" i="1" s="1"/>
  <c r="C72" i="1" l="1"/>
  <c r="C76" i="1" s="1"/>
  <c r="B72" i="1"/>
  <c r="B76" i="1" s="1"/>
  <c r="C78" i="1" l="1"/>
</calcChain>
</file>

<file path=xl/comments1.xml><?xml version="1.0" encoding="utf-8"?>
<comments xmlns="http://schemas.openxmlformats.org/spreadsheetml/2006/main">
  <authors>
    <author>Alan</author>
  </authors>
  <commentList>
    <comment ref="F16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H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windows and door.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  <comment ref="B53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Nets out widows and door.</t>
        </r>
      </text>
    </comment>
  </commentList>
</comments>
</file>

<file path=xl/sharedStrings.xml><?xml version="1.0" encoding="utf-8"?>
<sst xmlns="http://schemas.openxmlformats.org/spreadsheetml/2006/main" count="115" uniqueCount="92">
  <si>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</si>
  <si>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</si>
  <si>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</si>
  <si>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</si>
  <si>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</si>
  <si>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</si>
  <si>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</si>
  <si>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</si>
  <si>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</si>
  <si>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</si>
  <si>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</si>
  <si>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</si>
  <si>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</si>
  <si>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</si>
  <si>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</si>
  <si>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</si>
  <si>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</si>
  <si>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Wall R-value:</t>
  </si>
  <si>
    <t>Ceiling R-value</t>
  </si>
  <si>
    <t>Floor R-value</t>
  </si>
  <si>
    <t>PV Kilowatts:</t>
  </si>
  <si>
    <t>kW</t>
  </si>
  <si>
    <t>/kW</t>
  </si>
  <si>
    <t>R</t>
  </si>
  <si>
    <t>/R-value/ft2</t>
  </si>
  <si>
    <t>Natural Leakage</t>
  </si>
  <si>
    <t>Ventilation</t>
  </si>
  <si>
    <t>Air Tightness @ 50 Pa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</si>
  <si>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</si>
  <si>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</si>
  <si>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</si>
  <si>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</si>
  <si>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</si>
  <si>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</si>
  <si>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</si>
  <si>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</si>
  <si>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</si>
  <si>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</si>
  <si>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</si>
  <si>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to minimize Net Zero construction cost.</t>
  </si>
  <si>
    <t>Fixed (not optimized) Home Characteristics</t>
  </si>
  <si>
    <t>Total Incremental Cost</t>
  </si>
  <si>
    <t>costing incrementally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</si>
  <si>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</si>
  <si>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</si>
  <si>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</si>
  <si>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</si>
  <si>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</si>
  <si>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</si>
  <si>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</si>
  <si>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</si>
  <si>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</si>
  <si>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</si>
  <si>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</si>
  <si>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</si>
  <si>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</si>
  <si>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</si>
  <si>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</si>
  <si>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</si>
  <si>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</si>
  <si>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</si>
  <si>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</si>
  <si>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</si>
  <si>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</si>
  <si>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</si>
  <si>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</si>
  <si>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</si>
  <si>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</si>
  <si>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</si>
  <si>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</si>
  <si>
    <t>Heat Loss Coeff., UA</t>
  </si>
  <si>
    <t>Average Annual Outdoor Temperature:</t>
  </si>
  <si>
    <t>Fuel</t>
  </si>
  <si>
    <t>Electricity</t>
  </si>
  <si>
    <t>Natural Gas</t>
  </si>
  <si>
    <t>Fuel Oil</t>
  </si>
  <si>
    <t>Propane</t>
  </si>
  <si>
    <t>DOE Site-to-Source Mult.</t>
  </si>
  <si>
    <t>Space Heating Fuel Type</t>
  </si>
  <si>
    <t>Domestic Hot Water Annual Load:</t>
  </si>
  <si>
    <t>Domestic Hot Water Fuel Type</t>
  </si>
  <si>
    <t>Domestic Hot Water Heating Efficiency:</t>
  </si>
  <si>
    <t>41 gallons HW use / day is about 11.8 MMBtu/year Load</t>
  </si>
  <si>
    <t>entered above</t>
  </si>
  <si>
    <t>No Garage modeled here!</t>
  </si>
  <si>
    <t>Annual Lights and Appliances Electricity Use:</t>
  </si>
  <si>
    <t>Optimized Inputs</t>
  </si>
  <si>
    <t>Space Heating System Efficiency:</t>
  </si>
  <si>
    <t>currently is actually a formula tied to window area</t>
  </si>
  <si>
    <t>ACH natural (estimated as ACH50 / 18)</t>
  </si>
  <si>
    <t xml:space="preserve"> for a heat pump, enter a COP such as 2.3 as an efficiency of 230%.</t>
  </si>
  <si>
    <t>used in the Space Heating model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</si>
</sst>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  <xf numFmtId="43" fontId="0" fillId="0" borderId="0" xfId="1" applyFont="1"/>
    <xf numFmtId="0" fontId="7" fillId="0" borderId="1" xfId="0" applyFont="1" applyBorder="1" applyAlignment="1">
      <alignment horizontal="center" wrapText="1"/>
    </xf>
    <xf numFmtId="165" fontId="0" fillId="0" borderId="0" xfId="0" applyNumberFormat="1" applyAlignment="1">
      <alignment horizontal="left"/>
    </xf>
    <xf numFmtId="0" fontId="0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ctrlProps/ctrlProp3.xml><?xml version="1.0" encoding="utf-8"?>
<formControlPr xmlns="http://schemas.microsoft.com/office/spreadsheetml/2009/9/main" objectType="Drop" dropStyle="combo" dx="15" fmlaLink="$D$37" fmlaRange="Support!$A$7:$A$10" sel="2" val="0"/>
</file>

<file path=xl/ctrlProps/ctrlProp4.xml><?xml version="1.0" encoding="utf-8"?>
<formControlPr xmlns="http://schemas.microsoft.com/office/spreadsheetml/2009/9/main" objectType="Drop" dropStyle="combo" dx="15" fmlaLink="$D$46" fmlaRange="Support!$A$7:$A$10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14</xdr:row>
          <xdr:rowOff>76200</xdr:rowOff>
        </xdr:from>
        <xdr:to>
          <xdr:col>3</xdr:col>
          <xdr:colOff>381000</xdr:colOff>
          <xdr:row>14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657225</xdr:colOff>
          <xdr:row>35</xdr:row>
          <xdr:rowOff>180975</xdr:rowOff>
        </xdr:from>
        <xdr:to>
          <xdr:col>4</xdr:col>
          <xdr:colOff>238125</xdr:colOff>
          <xdr:row>36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44</xdr:row>
          <xdr:rowOff>180975</xdr:rowOff>
        </xdr:from>
        <xdr:to>
          <xdr:col>4</xdr:col>
          <xdr:colOff>266700</xdr:colOff>
          <xdr:row>45</xdr:row>
          <xdr:rowOff>180975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8"/>
  <sheetViews>
    <sheetView tabSelected="1" workbookViewId="0"/>
  </sheetViews>
  <sheetFormatPr defaultRowHeight="15" x14ac:dyDescent="0.25"/>
  <cols>
    <col min="1" max="1" width="19.140625" customWidth="1"/>
    <col min="2" max="2" width="10.42578125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68</v>
      </c>
    </row>
    <row r="2" spans="1:8" x14ac:dyDescent="0.25">
      <c r="A2" t="s">
        <v>69</v>
      </c>
    </row>
    <row r="3" spans="1:8" x14ac:dyDescent="0.25">
      <c r="A3" s="30" t="s">
        <v>46</v>
      </c>
    </row>
    <row r="4" spans="1:8" x14ac:dyDescent="0.25">
      <c r="A4" s="32"/>
    </row>
    <row r="5" spans="1:8" x14ac:dyDescent="0.25">
      <c r="A5" s="32" t="s">
        <v>64</v>
      </c>
      <c r="F5">
        <v>1</v>
      </c>
    </row>
    <row r="6" spans="1:8" x14ac:dyDescent="0.25">
      <c r="A6" s="32"/>
    </row>
    <row r="7" spans="1:8" ht="15.75" x14ac:dyDescent="0.25">
      <c r="A7" s="1" t="s">
        <v>44</v>
      </c>
      <c r="D7" s="6"/>
    </row>
    <row r="8" spans="1:8" x14ac:dyDescent="0.25">
      <c r="A8" t="s">
        <v>71</v>
      </c>
      <c r="D8" s="8">
        <v>35.299999999999997</v>
      </c>
      <c r="E8" t="s">
        <v>12</v>
      </c>
      <c r="F8" t="s">
        <v>91</v>
      </c>
    </row>
    <row r="9" spans="1:8" x14ac:dyDescent="0.25">
      <c r="A9" t="s">
        <v>62</v>
      </c>
      <c r="D9" s="5">
        <v>920</v>
      </c>
      <c r="E9" t="s">
        <v>61</v>
      </c>
    </row>
    <row r="10" spans="1:8" x14ac:dyDescent="0.25">
      <c r="D10" s="5"/>
      <c r="E10" t="s">
        <v>63</v>
      </c>
    </row>
    <row r="11" spans="1:8" ht="15.75" x14ac:dyDescent="0.25">
      <c r="A11" s="1" t="s">
        <v>86</v>
      </c>
      <c r="D11" s="5"/>
    </row>
    <row r="12" spans="1:8" ht="6" customHeight="1" x14ac:dyDescent="0.25">
      <c r="A12" s="29"/>
      <c r="D12" s="5"/>
    </row>
    <row r="13" spans="1:8" x14ac:dyDescent="0.25">
      <c r="A13" t="s">
        <v>53</v>
      </c>
    </row>
    <row r="14" spans="1:8" x14ac:dyDescent="0.25">
      <c r="A14" t="s">
        <v>39</v>
      </c>
    </row>
    <row r="15" spans="1:8" ht="45.75" thickBot="1" x14ac:dyDescent="0.3">
      <c r="B15" s="31" t="s">
        <v>48</v>
      </c>
      <c r="H15" s="3" t="s">
        <v>41</v>
      </c>
    </row>
    <row r="16" spans="1:8" x14ac:dyDescent="0.25">
      <c r="A16" t="s">
        <v>20</v>
      </c>
      <c r="B16" s="23">
        <v>9.4449150728440596</v>
      </c>
      <c r="C16" t="s">
        <v>21</v>
      </c>
      <c r="D16" t="s">
        <v>42</v>
      </c>
      <c r="F16" s="12">
        <v>3300</v>
      </c>
      <c r="G16" s="11" t="s">
        <v>22</v>
      </c>
      <c r="H16" s="10">
        <f>B16*F16</f>
        <v>31168.219740385397</v>
      </c>
    </row>
    <row r="17" spans="1:9" x14ac:dyDescent="0.25">
      <c r="A17" t="s">
        <v>17</v>
      </c>
      <c r="B17" s="24">
        <v>26.870762944005012</v>
      </c>
      <c r="C17" t="s">
        <v>23</v>
      </c>
      <c r="D17" t="s">
        <v>42</v>
      </c>
      <c r="F17" s="13">
        <v>0.17</v>
      </c>
      <c r="G17" s="11" t="s">
        <v>24</v>
      </c>
      <c r="H17" s="10">
        <f>B17*F17*(B26-B29-B30)</f>
        <v>5344.5947495625969</v>
      </c>
    </row>
    <row r="18" spans="1:9" x14ac:dyDescent="0.25">
      <c r="A18" t="s">
        <v>18</v>
      </c>
      <c r="B18" s="24">
        <v>55.453384861153751</v>
      </c>
      <c r="C18" t="s">
        <v>23</v>
      </c>
      <c r="D18" t="s">
        <v>42</v>
      </c>
      <c r="F18" s="13">
        <v>0.04</v>
      </c>
      <c r="G18" s="11" t="s">
        <v>24</v>
      </c>
      <c r="H18" s="10">
        <f>B18*F18*B27</f>
        <v>4471.7609552034392</v>
      </c>
    </row>
    <row r="19" spans="1:9" ht="15.75" thickBot="1" x14ac:dyDescent="0.3">
      <c r="A19" t="s">
        <v>19</v>
      </c>
      <c r="B19" s="25">
        <v>45.224825763517245</v>
      </c>
      <c r="C19" t="s">
        <v>23</v>
      </c>
      <c r="D19" t="s">
        <v>42</v>
      </c>
      <c r="F19" s="13">
        <v>0.06</v>
      </c>
      <c r="G19" s="11" t="s">
        <v>24</v>
      </c>
      <c r="H19" s="10">
        <f>B19*F19*B28</f>
        <v>5470.394924355046</v>
      </c>
    </row>
    <row r="20" spans="1:9" x14ac:dyDescent="0.25">
      <c r="B20" s="26"/>
      <c r="F20" s="13"/>
      <c r="G20" s="11"/>
      <c r="H20" s="33">
        <f>SUM(H16:H19)</f>
        <v>46454.970369506482</v>
      </c>
      <c r="I20" t="s">
        <v>49</v>
      </c>
    </row>
    <row r="21" spans="1:9" x14ac:dyDescent="0.25">
      <c r="A21" t="s">
        <v>43</v>
      </c>
      <c r="B21" s="26"/>
      <c r="D21" s="8">
        <v>99</v>
      </c>
      <c r="E21" t="s">
        <v>55</v>
      </c>
      <c r="F21" s="13"/>
      <c r="G21" s="11"/>
      <c r="H21" s="27"/>
    </row>
    <row r="22" spans="1:9" x14ac:dyDescent="0.25">
      <c r="E22" t="s">
        <v>59</v>
      </c>
      <c r="G22" s="28"/>
    </row>
    <row r="23" spans="1:9" ht="15.75" x14ac:dyDescent="0.25">
      <c r="A23" s="1" t="s">
        <v>40</v>
      </c>
    </row>
    <row r="24" spans="1:9" ht="9" customHeight="1" x14ac:dyDescent="0.25">
      <c r="A24" s="1"/>
    </row>
    <row r="25" spans="1:9" x14ac:dyDescent="0.25">
      <c r="B25" s="3" t="s">
        <v>5</v>
      </c>
      <c r="C25" s="3" t="s">
        <v>6</v>
      </c>
      <c r="E25" t="s">
        <v>84</v>
      </c>
    </row>
    <row r="26" spans="1:9" x14ac:dyDescent="0.25">
      <c r="A26" t="s">
        <v>3</v>
      </c>
      <c r="B26" s="5">
        <f>(36+56)*2*8</f>
        <v>1472</v>
      </c>
      <c r="C26" s="39" t="s">
        <v>83</v>
      </c>
    </row>
    <row r="27" spans="1:9" x14ac:dyDescent="0.25">
      <c r="A27" t="s">
        <v>0</v>
      </c>
      <c r="B27" s="5">
        <f>36*56</f>
        <v>2016</v>
      </c>
      <c r="C27" s="39" t="s">
        <v>83</v>
      </c>
      <c r="D27" s="14"/>
    </row>
    <row r="28" spans="1:9" x14ac:dyDescent="0.25">
      <c r="A28" t="s">
        <v>1</v>
      </c>
      <c r="B28" s="5">
        <f>B27</f>
        <v>2016</v>
      </c>
      <c r="C28" s="39" t="s">
        <v>83</v>
      </c>
      <c r="D28" s="14"/>
    </row>
    <row r="29" spans="1:9" x14ac:dyDescent="0.25">
      <c r="A29" t="s">
        <v>4</v>
      </c>
      <c r="B29" s="5">
        <v>260</v>
      </c>
      <c r="C29" s="6">
        <f>1/0.16</f>
        <v>6.25</v>
      </c>
      <c r="D29" s="14"/>
    </row>
    <row r="30" spans="1:9" x14ac:dyDescent="0.25">
      <c r="A30" t="s">
        <v>2</v>
      </c>
      <c r="B30" s="5">
        <v>42</v>
      </c>
      <c r="C30" s="6">
        <v>7</v>
      </c>
      <c r="D30" s="14"/>
    </row>
    <row r="32" spans="1:9" x14ac:dyDescent="0.25">
      <c r="A32" t="s">
        <v>7</v>
      </c>
      <c r="D32" s="5">
        <f>2016*8</f>
        <v>16128</v>
      </c>
      <c r="E32" t="s">
        <v>8</v>
      </c>
    </row>
    <row r="33" spans="1:9" x14ac:dyDescent="0.25">
      <c r="A33" t="s">
        <v>27</v>
      </c>
      <c r="D33" s="17">
        <v>1</v>
      </c>
      <c r="E33" t="s">
        <v>50</v>
      </c>
      <c r="G33" s="18">
        <f>D33/18</f>
        <v>5.5555555555555552E-2</v>
      </c>
      <c r="H33" t="s">
        <v>89</v>
      </c>
    </row>
    <row r="34" spans="1:9" x14ac:dyDescent="0.25">
      <c r="A34" t="s">
        <v>9</v>
      </c>
      <c r="D34" s="5">
        <v>60</v>
      </c>
      <c r="E34" t="s">
        <v>10</v>
      </c>
    </row>
    <row r="35" spans="1:9" x14ac:dyDescent="0.25">
      <c r="A35" t="s">
        <v>11</v>
      </c>
      <c r="D35" s="7">
        <v>0.75</v>
      </c>
    </row>
    <row r="37" spans="1:9" x14ac:dyDescent="0.25">
      <c r="A37" t="s">
        <v>78</v>
      </c>
      <c r="D37" s="6">
        <v>2</v>
      </c>
      <c r="I37" s="6"/>
    </row>
    <row r="38" spans="1:9" x14ac:dyDescent="0.25">
      <c r="A38" t="s">
        <v>87</v>
      </c>
      <c r="D38" s="9">
        <v>0.9</v>
      </c>
      <c r="E38" t="s">
        <v>90</v>
      </c>
      <c r="I38" s="9"/>
    </row>
    <row r="40" spans="1:9" x14ac:dyDescent="0.25">
      <c r="A40" t="s">
        <v>13</v>
      </c>
      <c r="D40" s="5">
        <v>70</v>
      </c>
      <c r="E40" t="s">
        <v>12</v>
      </c>
    </row>
    <row r="42" spans="1:9" x14ac:dyDescent="0.25">
      <c r="A42" t="s">
        <v>14</v>
      </c>
      <c r="D42" s="8">
        <f>10*B29/260</f>
        <v>10</v>
      </c>
      <c r="E42" t="s">
        <v>15</v>
      </c>
      <c r="G42" t="s">
        <v>88</v>
      </c>
    </row>
    <row r="43" spans="1:9" x14ac:dyDescent="0.25">
      <c r="A43" t="s">
        <v>56</v>
      </c>
      <c r="D43" s="7">
        <v>0.99</v>
      </c>
      <c r="E43" t="s">
        <v>57</v>
      </c>
    </row>
    <row r="45" spans="1:9" x14ac:dyDescent="0.25">
      <c r="A45" s="40" t="s">
        <v>79</v>
      </c>
      <c r="D45" s="8">
        <f>41*(135-40)*8.28*365/1000000</f>
        <v>11.771469</v>
      </c>
      <c r="E45" t="s">
        <v>15</v>
      </c>
      <c r="G45" t="s">
        <v>82</v>
      </c>
      <c r="I45" s="8"/>
    </row>
    <row r="46" spans="1:9" x14ac:dyDescent="0.25">
      <c r="A46" t="s">
        <v>80</v>
      </c>
      <c r="D46" s="6">
        <v>2</v>
      </c>
      <c r="I46" s="6"/>
    </row>
    <row r="47" spans="1:9" x14ac:dyDescent="0.25">
      <c r="A47" t="s">
        <v>81</v>
      </c>
      <c r="D47" s="9">
        <v>0.85</v>
      </c>
      <c r="I47" s="9"/>
    </row>
    <row r="49" spans="1:5" x14ac:dyDescent="0.25">
      <c r="A49" s="40" t="s">
        <v>85</v>
      </c>
      <c r="D49" s="5">
        <v>3000</v>
      </c>
      <c r="E49" t="s">
        <v>16</v>
      </c>
    </row>
    <row r="50" spans="1:5" x14ac:dyDescent="0.25">
      <c r="D50" s="6"/>
    </row>
    <row r="51" spans="1:5" ht="15.75" x14ac:dyDescent="0.25">
      <c r="A51" s="1" t="s">
        <v>60</v>
      </c>
    </row>
    <row r="52" spans="1:5" ht="30" x14ac:dyDescent="0.25">
      <c r="B52" s="3" t="s">
        <v>70</v>
      </c>
    </row>
    <row r="53" spans="1:5" x14ac:dyDescent="0.25">
      <c r="A53" t="s">
        <v>3</v>
      </c>
      <c r="B53" s="4">
        <f>(B26-B29-B30)/B17</f>
        <v>43.541748421439308</v>
      </c>
      <c r="C53" t="s">
        <v>54</v>
      </c>
    </row>
    <row r="54" spans="1:5" x14ac:dyDescent="0.25">
      <c r="A54" t="s">
        <v>0</v>
      </c>
      <c r="B54" s="4">
        <f>B27/B18</f>
        <v>36.354859221808297</v>
      </c>
    </row>
    <row r="55" spans="1:5" x14ac:dyDescent="0.25">
      <c r="A55" t="s">
        <v>1</v>
      </c>
      <c r="B55" s="4">
        <f>B28/B19</f>
        <v>44.577286168923223</v>
      </c>
    </row>
    <row r="56" spans="1:5" x14ac:dyDescent="0.25">
      <c r="A56" t="s">
        <v>4</v>
      </c>
      <c r="B56" s="4">
        <f>B29/C29</f>
        <v>41.6</v>
      </c>
    </row>
    <row r="57" spans="1:5" x14ac:dyDescent="0.25">
      <c r="A57" t="s">
        <v>2</v>
      </c>
      <c r="B57" s="4">
        <f>B30/C30</f>
        <v>6</v>
      </c>
    </row>
    <row r="58" spans="1:5" x14ac:dyDescent="0.25">
      <c r="A58" t="s">
        <v>25</v>
      </c>
      <c r="B58" s="4">
        <f>G33*D32*0.018</f>
        <v>16.128</v>
      </c>
    </row>
    <row r="59" spans="1:5" x14ac:dyDescent="0.25">
      <c r="A59" t="s">
        <v>26</v>
      </c>
      <c r="B59" s="4">
        <f>D34*1.08*(1-D35)</f>
        <v>16.200000000000003</v>
      </c>
    </row>
    <row r="60" spans="1:5" x14ac:dyDescent="0.25">
      <c r="B60" s="16">
        <f>SUM(B53:B59)</f>
        <v>204.40189381217084</v>
      </c>
      <c r="C60" t="s">
        <v>54</v>
      </c>
    </row>
    <row r="62" spans="1:5" x14ac:dyDescent="0.25">
      <c r="A62" t="s">
        <v>29</v>
      </c>
      <c r="C62" s="4">
        <f>B60*(D40-D8)*8766/1000000</f>
        <v>62.175008940164894</v>
      </c>
      <c r="D62" t="s">
        <v>15</v>
      </c>
    </row>
    <row r="63" spans="1:5" x14ac:dyDescent="0.25">
      <c r="A63" t="s">
        <v>45</v>
      </c>
      <c r="C63" s="15">
        <f>-(D49+3*0.75*0.06*8766)*0.003413*D43</f>
        <v>-14.135198546699998</v>
      </c>
      <c r="D63" t="s">
        <v>47</v>
      </c>
      <c r="E63" t="s">
        <v>58</v>
      </c>
    </row>
    <row r="64" spans="1:5" x14ac:dyDescent="0.25">
      <c r="A64" s="19" t="s">
        <v>14</v>
      </c>
      <c r="B64" s="19"/>
      <c r="C64" s="20">
        <f>-D42</f>
        <v>-10</v>
      </c>
      <c r="D64" t="s">
        <v>47</v>
      </c>
    </row>
    <row r="65" spans="1:4" x14ac:dyDescent="0.25">
      <c r="B65" s="21" t="s">
        <v>28</v>
      </c>
      <c r="C65" s="15">
        <f>MAX(0,SUM(C62:C64))</f>
        <v>38.039810393464897</v>
      </c>
      <c r="D65" t="s">
        <v>15</v>
      </c>
    </row>
    <row r="66" spans="1:4" x14ac:dyDescent="0.25">
      <c r="B66" s="21" t="s">
        <v>33</v>
      </c>
      <c r="C66" s="15">
        <f>C65/D38</f>
        <v>42.266455992738777</v>
      </c>
      <c r="D66" t="s">
        <v>15</v>
      </c>
    </row>
    <row r="67" spans="1:4" x14ac:dyDescent="0.25">
      <c r="B67" s="21" t="s">
        <v>34</v>
      </c>
      <c r="C67" s="15">
        <f>C66*INDEX(Support!$B$7:$B$10, $D$37)</f>
        <v>46.070437032085273</v>
      </c>
      <c r="D67" t="s">
        <v>15</v>
      </c>
    </row>
    <row r="69" spans="1:4" ht="15.75" x14ac:dyDescent="0.25">
      <c r="A69" s="1" t="s">
        <v>30</v>
      </c>
    </row>
    <row r="70" spans="1:4" ht="9" customHeight="1" x14ac:dyDescent="0.25">
      <c r="A70" s="1"/>
    </row>
    <row r="71" spans="1:4" ht="30" x14ac:dyDescent="0.25">
      <c r="B71" s="3" t="s">
        <v>52</v>
      </c>
      <c r="C71" s="3" t="s">
        <v>32</v>
      </c>
    </row>
    <row r="72" spans="1:4" x14ac:dyDescent="0.25">
      <c r="A72" t="s">
        <v>31</v>
      </c>
      <c r="B72" s="15">
        <f>C66</f>
        <v>42.266455992738777</v>
      </c>
      <c r="C72" s="15">
        <f>C67</f>
        <v>46.070437032085273</v>
      </c>
    </row>
    <row r="73" spans="1:4" x14ac:dyDescent="0.25">
      <c r="A73" t="s">
        <v>35</v>
      </c>
      <c r="B73" s="4">
        <f>D45/D47</f>
        <v>13.848787058823529</v>
      </c>
      <c r="C73" s="4">
        <f>B73*INDEX(Support!$B$7:$B$10, $D$46)</f>
        <v>15.095177894117647</v>
      </c>
    </row>
    <row r="74" spans="1:4" x14ac:dyDescent="0.25">
      <c r="A74" t="s">
        <v>36</v>
      </c>
      <c r="B74" s="4">
        <f>D49*0.003413</f>
        <v>10.238999999999999</v>
      </c>
      <c r="C74" s="4">
        <f>B74*source_mult_elec</f>
        <v>32.252849999999995</v>
      </c>
    </row>
    <row r="75" spans="1:4" x14ac:dyDescent="0.25">
      <c r="A75" t="s">
        <v>37</v>
      </c>
      <c r="B75" s="22">
        <f>-B16*D9*0.003413</f>
        <v>-29.656655532127434</v>
      </c>
      <c r="C75" s="22">
        <f>B75*source_mult_elec</f>
        <v>-93.418464926201409</v>
      </c>
    </row>
    <row r="76" spans="1:4" x14ac:dyDescent="0.25">
      <c r="A76" s="34" t="s">
        <v>38</v>
      </c>
      <c r="B76" s="35">
        <f>SUM(B72:B75)</f>
        <v>36.697587519434876</v>
      </c>
      <c r="C76" s="36">
        <f>SUM(C72:C75)</f>
        <v>1.5063505998114124E-12</v>
      </c>
    </row>
    <row r="78" spans="1:4" x14ac:dyDescent="0.25">
      <c r="A78" t="s">
        <v>67</v>
      </c>
      <c r="C78" s="4">
        <f>IF(zero_energy_type=1, source_energy,site_energy)</f>
        <v>1.5063505998114124E-12</v>
      </c>
      <c r="D78" t="str">
        <f>"MMBtu " &amp; IF(zero_energy_type=1, "Source", "Site") &amp; " Energy"</f>
        <v>MMBtu Source Energy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14</xdr:row>
                    <xdr:rowOff>76200</xdr:rowOff>
                  </from>
                  <to>
                    <xdr:col>3</xdr:col>
                    <xdr:colOff>381000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Drop Down 13">
              <controlPr defaultSize="0" autoLine="0" autoPict="0">
                <anchor moveWithCells="1">
                  <from>
                    <xdr:col>2</xdr:col>
                    <xdr:colOff>657225</xdr:colOff>
                    <xdr:row>35</xdr:row>
                    <xdr:rowOff>180975</xdr:rowOff>
                  </from>
                  <to>
                    <xdr:col>4</xdr:col>
                    <xdr:colOff>238125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>
                <anchor moveWithCells="1">
                  <from>
                    <xdr:col>2</xdr:col>
                    <xdr:colOff>685800</xdr:colOff>
                    <xdr:row>44</xdr:row>
                    <xdr:rowOff>180975</xdr:rowOff>
                  </from>
                  <to>
                    <xdr:col>4</xdr:col>
                    <xdr:colOff>266700</xdr:colOff>
                    <xdr:row>45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2"/>
  <sheetViews>
    <sheetView workbookViewId="0">
      <selection activeCell="F4" sqref="F4"/>
    </sheetView>
  </sheetViews>
  <sheetFormatPr defaultRowHeight="15" x14ac:dyDescent="0.25"/>
  <cols>
    <col min="1" max="1" width="14.5703125" customWidth="1"/>
    <col min="2" max="2" width="13.42578125" customWidth="1"/>
  </cols>
  <sheetData>
    <row r="2" spans="1:2" x14ac:dyDescent="0.25">
      <c r="A2" s="29" t="s">
        <v>51</v>
      </c>
    </row>
    <row r="3" spans="1:2" x14ac:dyDescent="0.25">
      <c r="A3" s="30" t="s">
        <v>65</v>
      </c>
    </row>
    <row r="4" spans="1:2" x14ac:dyDescent="0.25">
      <c r="A4" s="30" t="s">
        <v>66</v>
      </c>
    </row>
    <row r="6" spans="1:2" ht="30" x14ac:dyDescent="0.25">
      <c r="A6" s="38" t="s">
        <v>72</v>
      </c>
      <c r="B6" s="38" t="s">
        <v>77</v>
      </c>
    </row>
    <row r="7" spans="1:2" x14ac:dyDescent="0.25">
      <c r="A7" s="30" t="s">
        <v>73</v>
      </c>
      <c r="B7" s="6">
        <v>3.15</v>
      </c>
    </row>
    <row r="8" spans="1:2" x14ac:dyDescent="0.25">
      <c r="A8" s="30" t="s">
        <v>74</v>
      </c>
      <c r="B8" s="6">
        <v>1.0900000000000001</v>
      </c>
    </row>
    <row r="9" spans="1:2" x14ac:dyDescent="0.25">
      <c r="A9" s="30" t="s">
        <v>75</v>
      </c>
      <c r="B9" s="6">
        <v>1.19</v>
      </c>
    </row>
    <row r="10" spans="1:2" x14ac:dyDescent="0.25">
      <c r="A10" s="30" t="s">
        <v>76</v>
      </c>
      <c r="B10" s="6">
        <v>1.1499999999999999</v>
      </c>
    </row>
    <row r="11" spans="1:2" x14ac:dyDescent="0.25">
      <c r="B11" s="37"/>
    </row>
    <row r="12" spans="1:2" x14ac:dyDescent="0.25">
      <c r="B1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Model</vt:lpstr>
      <vt:lpstr>Support</vt:lpstr>
      <vt:lpstr>energy_types</vt:lpstr>
      <vt:lpstr>opt_inputs</vt:lpstr>
      <vt:lpstr>pv_kW</vt:lpstr>
      <vt:lpstr>pv_limit</vt:lpstr>
      <vt:lpstr>site_energy</vt:lpstr>
      <vt:lpstr>source_energy</vt:lpstr>
      <vt:lpstr>source_mult_elec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2015-11-17T06:46:28Z</dcterms:modified>
</cp:coreProperties>
</file>