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Model!$F$5</definedName>
  </definedNames>
  <calcPr calcId="145621"/>
</workbook>
</file>

<file path=xl/calcChain.xml><?xml version="1.0" encoding="utf-8"?>
<calcChain xmlns="http://schemas.openxmlformats.org/spreadsheetml/2006/main">
  <c r="C62" i="1" l="1"/>
  <c r="B74" i="1" l="1"/>
  <c r="C74" i="1" s="1"/>
  <c r="B73" i="1"/>
  <c r="C73" i="1" s="1"/>
  <c r="G34" i="1" l="1"/>
  <c r="B58" i="1"/>
  <c r="B56" i="1"/>
  <c r="H17" i="1"/>
  <c r="B27" i="1"/>
  <c r="B52" i="1" s="1"/>
  <c r="D43" i="1"/>
  <c r="C63" i="1" s="1"/>
  <c r="D46" i="1"/>
  <c r="B72" i="1" s="1"/>
  <c r="C72" i="1" s="1"/>
  <c r="D33" i="1"/>
  <c r="C30" i="1"/>
  <c r="B55" i="1" s="1"/>
  <c r="B28" i="1"/>
  <c r="H19" i="1" s="1"/>
  <c r="B53" i="1" l="1"/>
  <c r="B29" i="1"/>
  <c r="H20" i="1" s="1"/>
  <c r="H18" i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</commentList>
</comments>
</file>

<file path=xl/sharedStrings.xml><?xml version="1.0" encoding="utf-8"?>
<sst xmlns="http://schemas.openxmlformats.org/spreadsheetml/2006/main" count="109" uniqueCount="85">
  <si>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</si>
  <si>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</si>
  <si>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</si>
  <si>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</si>
  <si>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</si>
  <si>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</si>
  <si>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</si>
  <si>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</si>
  <si>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</si>
  <si>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</si>
  <si>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</si>
  <si>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</si>
  <si>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</si>
  <si>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</si>
  <si>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</si>
  <si>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</si>
  <si>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</si>
  <si>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</si>
  <si>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</si>
  <si>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</si>
  <si>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</si>
  <si>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</si>
  <si>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</si>
  <si>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</si>
  <si>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</si>
  <si>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</si>
  <si>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</si>
  <si>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</si>
  <si>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</si>
  <si>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</si>
  <si>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UA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</si>
  <si>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</si>
  <si>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</si>
  <si>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</si>
  <si>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</si>
  <si>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</si>
  <si>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</si>
  <si>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</si>
  <si>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</si>
  <si>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</si>
  <si>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</si>
  <si>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</si>
  <si>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</si>
  <si>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</si>
  <si>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</si>
  <si>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</si>
  <si>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</si>
  <si>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</si>
  <si>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</si>
  <si>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</si>
  <si>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</si>
  <si>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</si>
  <si>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</si>
  <si>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</si>
  <si>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</si>
  <si>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</si>
  <si>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</si>
  <si>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</si>
  <si>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</si>
  <si>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</si>
  <si>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</si>
  <si>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</si>
  <si>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</si>
  <si>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</si>
  <si>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</si>
  <si>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Types of Energy Measurements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</si>
  <si>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</si>
  <si>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</si>
  <si>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</si>
  <si>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</si>
  <si>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</si>
  <si>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</si>
  <si>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</si>
  <si>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</si>
  <si>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</si>
  <si>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</si>
  <si>
    <t>kWh/year/kW (Anchorage, AK is about 920 kWh/year/kW)</t>
  </si>
  <si>
    <t>Annual PV Production per kW of PV Panels:</t>
  </si>
  <si>
    <t>Use PVWatts to determine this input for your climate.</t>
  </si>
  <si>
    <t>What Energy Measurement is being used to assess Net Zero:</t>
  </si>
  <si>
    <t>Source Energy</t>
  </si>
  <si>
    <t>Site Energy</t>
  </si>
  <si>
    <t>Energy being zeroed by Solver:</t>
  </si>
  <si>
    <t>Net Zero Energy Optimization</t>
  </si>
  <si>
    <t>Optimize PV capacity and R-values to minimize the cost of reaching Net Zero Energy.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</si>
</sst>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  <xf numFmtId="167" fontId="7" fillId="0" borderId="2" xfId="2" applyNumberFormat="1" applyFont="1" applyBorder="1"/>
    <xf numFmtId="0" fontId="7" fillId="0" borderId="0" xfId="0" applyFont="1" applyAlignment="1">
      <alignment horizontal="right"/>
    </xf>
    <xf numFmtId="164" fontId="7" fillId="0" borderId="0" xfId="0" applyNumberFormat="1" applyFont="1"/>
    <xf numFmtId="169" fontId="7" fillId="0" borderId="0" xfId="0" applyNumberFormat="1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F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3</xdr:row>
          <xdr:rowOff>180975</xdr:rowOff>
        </xdr:from>
        <xdr:to>
          <xdr:col>6</xdr:col>
          <xdr:colOff>85725</xdr:colOff>
          <xdr:row>5</xdr:row>
          <xdr:rowOff>133350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I77"/>
  <sheetViews>
    <sheetView tabSelected="1" workbookViewId="0">
      <selection activeCell="A2" sqref="A2"/>
    </sheetView>
  </sheetViews>
  <sheetFormatPr defaultRowHeight="15" x14ac:dyDescent="0.25"/>
  <cols>
    <col min="1" max="1" width="18.42578125" customWidth="1"/>
    <col min="2" max="2" width="9.5703125" bestFit="1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83</v>
      </c>
    </row>
    <row r="2" spans="1:8" x14ac:dyDescent="0.25">
      <c r="A2" t="s">
        <v>84</v>
      </c>
    </row>
    <row r="3" spans="1:8" x14ac:dyDescent="0.25">
      <c r="A3" s="31" t="s">
        <v>60</v>
      </c>
    </row>
    <row r="4" spans="1:8" x14ac:dyDescent="0.25">
      <c r="A4" s="33"/>
    </row>
    <row r="5" spans="1:8" x14ac:dyDescent="0.25">
      <c r="A5" s="33" t="s">
        <v>79</v>
      </c>
      <c r="F5">
        <v>1</v>
      </c>
    </row>
    <row r="6" spans="1:8" x14ac:dyDescent="0.25">
      <c r="A6" s="33"/>
    </row>
    <row r="7" spans="1:8" x14ac:dyDescent="0.25">
      <c r="A7" t="s">
        <v>56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0" t="s">
        <v>58</v>
      </c>
      <c r="D10" s="6"/>
    </row>
    <row r="11" spans="1:8" x14ac:dyDescent="0.25">
      <c r="A11" t="s">
        <v>49</v>
      </c>
      <c r="D11" s="5">
        <v>35</v>
      </c>
      <c r="E11" t="s">
        <v>12</v>
      </c>
    </row>
    <row r="12" spans="1:8" x14ac:dyDescent="0.25">
      <c r="A12" t="s">
        <v>77</v>
      </c>
      <c r="D12" s="5">
        <v>920</v>
      </c>
      <c r="E12" t="s">
        <v>76</v>
      </c>
    </row>
    <row r="13" spans="1:8" x14ac:dyDescent="0.25">
      <c r="D13" s="5"/>
      <c r="E13" t="s">
        <v>78</v>
      </c>
    </row>
    <row r="14" spans="1:8" x14ac:dyDescent="0.25">
      <c r="A14" t="s">
        <v>67</v>
      </c>
    </row>
    <row r="15" spans="1:8" x14ac:dyDescent="0.25">
      <c r="A15" t="s">
        <v>50</v>
      </c>
    </row>
    <row r="16" spans="1:8" ht="45.75" thickBot="1" x14ac:dyDescent="0.3">
      <c r="B16" s="32" t="s">
        <v>62</v>
      </c>
      <c r="H16" s="3" t="s">
        <v>52</v>
      </c>
    </row>
    <row r="17" spans="1:9" x14ac:dyDescent="0.25">
      <c r="A17" t="s">
        <v>26</v>
      </c>
      <c r="B17" s="24">
        <v>9.8497623814436608</v>
      </c>
      <c r="C17" t="s">
        <v>27</v>
      </c>
      <c r="D17" t="s">
        <v>53</v>
      </c>
      <c r="F17" s="12">
        <v>3300</v>
      </c>
      <c r="G17" s="11" t="s">
        <v>28</v>
      </c>
      <c r="H17" s="10">
        <f>B17*F17</f>
        <v>32504.215858764081</v>
      </c>
    </row>
    <row r="18" spans="1:9" x14ac:dyDescent="0.25">
      <c r="A18" t="s">
        <v>23</v>
      </c>
      <c r="B18" s="25">
        <v>28.748957423591563</v>
      </c>
      <c r="C18" t="s">
        <v>29</v>
      </c>
      <c r="D18" t="s">
        <v>53</v>
      </c>
      <c r="F18" s="13">
        <v>0.15</v>
      </c>
      <c r="G18" s="11" t="s">
        <v>32</v>
      </c>
      <c r="H18" s="10">
        <f>B18*F18*B27</f>
        <v>6485.7647947622554</v>
      </c>
    </row>
    <row r="19" spans="1:9" x14ac:dyDescent="0.25">
      <c r="A19" t="s">
        <v>24</v>
      </c>
      <c r="B19" s="25">
        <v>55.681651575315307</v>
      </c>
      <c r="C19" t="s">
        <v>29</v>
      </c>
      <c r="D19" t="s">
        <v>53</v>
      </c>
      <c r="F19" s="13">
        <v>0.04</v>
      </c>
      <c r="G19" s="11" t="s">
        <v>32</v>
      </c>
      <c r="H19" s="10">
        <f>B19*F19*B28</f>
        <v>4650.5315395703346</v>
      </c>
    </row>
    <row r="20" spans="1:9" ht="15.75" thickBot="1" x14ac:dyDescent="0.3">
      <c r="A20" t="s">
        <v>25</v>
      </c>
      <c r="B20" s="26">
        <v>32.131737761135902</v>
      </c>
      <c r="C20" t="s">
        <v>29</v>
      </c>
      <c r="D20" t="s">
        <v>53</v>
      </c>
      <c r="F20" s="13">
        <v>0.12</v>
      </c>
      <c r="G20" s="11" t="s">
        <v>32</v>
      </c>
      <c r="H20" s="10">
        <f>B20*F20*B29</f>
        <v>8050.9282134302111</v>
      </c>
    </row>
    <row r="21" spans="1:9" x14ac:dyDescent="0.25">
      <c r="B21" s="27"/>
      <c r="F21" s="13"/>
      <c r="G21" s="11"/>
      <c r="H21" s="34">
        <f>SUM(H17:H20)</f>
        <v>51691.440406526883</v>
      </c>
      <c r="I21" t="s">
        <v>63</v>
      </c>
    </row>
    <row r="22" spans="1:9" x14ac:dyDescent="0.25">
      <c r="A22" t="s">
        <v>57</v>
      </c>
      <c r="B22" s="27"/>
      <c r="D22" s="8">
        <v>99</v>
      </c>
      <c r="E22" t="s">
        <v>70</v>
      </c>
      <c r="F22" s="13"/>
      <c r="G22" s="11"/>
      <c r="H22" s="28"/>
    </row>
    <row r="23" spans="1:9" x14ac:dyDescent="0.25">
      <c r="E23" t="s">
        <v>74</v>
      </c>
      <c r="G23" s="29"/>
    </row>
    <row r="24" spans="1:9" ht="15.75" x14ac:dyDescent="0.25">
      <c r="A24" s="1" t="s">
        <v>51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31</v>
      </c>
    </row>
    <row r="27" spans="1:9" x14ac:dyDescent="0.25">
      <c r="A27" t="s">
        <v>3</v>
      </c>
      <c r="B27" s="5">
        <f>(36+58)*2*8</f>
        <v>1504</v>
      </c>
      <c r="C27" s="16" t="s">
        <v>33</v>
      </c>
    </row>
    <row r="28" spans="1:9" x14ac:dyDescent="0.25">
      <c r="A28" t="s">
        <v>0</v>
      </c>
      <c r="B28" s="5">
        <f>36*58</f>
        <v>2088</v>
      </c>
      <c r="C28" s="16" t="s">
        <v>33</v>
      </c>
      <c r="D28" s="14"/>
    </row>
    <row r="29" spans="1:9" x14ac:dyDescent="0.25">
      <c r="A29" t="s">
        <v>1</v>
      </c>
      <c r="B29" s="5">
        <f>B28</f>
        <v>2088</v>
      </c>
      <c r="C29" s="16" t="s">
        <v>33</v>
      </c>
      <c r="D29" s="14"/>
    </row>
    <row r="30" spans="1:9" x14ac:dyDescent="0.25">
      <c r="A30" t="s">
        <v>4</v>
      </c>
      <c r="B30" s="5">
        <v>300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2088*8</f>
        <v>16704</v>
      </c>
      <c r="E33" t="s">
        <v>8</v>
      </c>
    </row>
    <row r="34" spans="1:9" x14ac:dyDescent="0.25">
      <c r="A34" t="s">
        <v>36</v>
      </c>
      <c r="D34" s="18">
        <v>1</v>
      </c>
      <c r="E34" t="s">
        <v>64</v>
      </c>
      <c r="G34" s="19">
        <f>D34/18</f>
        <v>5.5555555555555552E-2</v>
      </c>
      <c r="H34" t="s">
        <v>37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54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32*B30/552</f>
        <v>17.391304347826086</v>
      </c>
      <c r="E43" t="s">
        <v>15</v>
      </c>
      <c r="G43" t="s">
        <v>68</v>
      </c>
    </row>
    <row r="44" spans="1:9" x14ac:dyDescent="0.25">
      <c r="A44" t="s">
        <v>71</v>
      </c>
      <c r="D44" s="7">
        <v>0.95</v>
      </c>
      <c r="E44" t="s">
        <v>72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55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54</v>
      </c>
      <c r="I48" s="6"/>
    </row>
    <row r="50" spans="1:5" ht="15.75" x14ac:dyDescent="0.25">
      <c r="A50" s="1" t="s">
        <v>75</v>
      </c>
    </row>
    <row r="51" spans="1:5" x14ac:dyDescent="0.25">
      <c r="B51" s="3" t="s">
        <v>30</v>
      </c>
    </row>
    <row r="52" spans="1:5" x14ac:dyDescent="0.25">
      <c r="A52" t="s">
        <v>3</v>
      </c>
      <c r="B52" s="4">
        <f>B27/B18</f>
        <v>52.314940602534989</v>
      </c>
      <c r="C52" t="s">
        <v>69</v>
      </c>
    </row>
    <row r="53" spans="1:5" x14ac:dyDescent="0.25">
      <c r="A53" t="s">
        <v>0</v>
      </c>
      <c r="B53" s="4">
        <f>B28/B19</f>
        <v>37.49888771125547</v>
      </c>
    </row>
    <row r="54" spans="1:5" x14ac:dyDescent="0.25">
      <c r="A54" t="s">
        <v>1</v>
      </c>
      <c r="B54" s="4">
        <f>B29/B20</f>
        <v>64.982479799940521</v>
      </c>
    </row>
    <row r="55" spans="1:5" x14ac:dyDescent="0.25">
      <c r="A55" t="s">
        <v>4</v>
      </c>
      <c r="B55" s="4">
        <f>B30/C30</f>
        <v>48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34</v>
      </c>
      <c r="B57" s="4">
        <f>G34*D33*0.018</f>
        <v>16.703999999999997</v>
      </c>
    </row>
    <row r="58" spans="1:5" x14ac:dyDescent="0.25">
      <c r="A58" t="s">
        <v>35</v>
      </c>
      <c r="B58" s="4">
        <f>D35*1.08*(1-D36)</f>
        <v>12.959999999999999</v>
      </c>
    </row>
    <row r="59" spans="1:5" x14ac:dyDescent="0.25">
      <c r="B59" s="17">
        <f>SUM(B52:B58)</f>
        <v>238.46030811373097</v>
      </c>
      <c r="C59" t="s">
        <v>69</v>
      </c>
    </row>
    <row r="61" spans="1:5" x14ac:dyDescent="0.25">
      <c r="A61" t="s">
        <v>39</v>
      </c>
      <c r="C61" s="4">
        <f>B59*(D41-D11)*8766/1000000</f>
        <v>73.162007132373816</v>
      </c>
      <c r="D61" t="s">
        <v>15</v>
      </c>
    </row>
    <row r="62" spans="1:5" x14ac:dyDescent="0.25">
      <c r="A62" t="s">
        <v>59</v>
      </c>
      <c r="C62" s="15">
        <f>-(D7+3*0.75*0.06*8766)*0.003413*D44</f>
        <v>-13.564079413499998</v>
      </c>
      <c r="D62" t="s">
        <v>61</v>
      </c>
      <c r="E62" t="s">
        <v>73</v>
      </c>
    </row>
    <row r="63" spans="1:5" x14ac:dyDescent="0.25">
      <c r="A63" s="20" t="s">
        <v>14</v>
      </c>
      <c r="B63" s="20"/>
      <c r="C63" s="21">
        <f>-D43</f>
        <v>-17.391304347826086</v>
      </c>
      <c r="D63" t="s">
        <v>61</v>
      </c>
    </row>
    <row r="64" spans="1:5" x14ac:dyDescent="0.25">
      <c r="B64" s="22" t="s">
        <v>38</v>
      </c>
      <c r="C64" s="15">
        <f>MAX(0,SUM(C61:C63))</f>
        <v>42.206623371047733</v>
      </c>
      <c r="D64" t="s">
        <v>15</v>
      </c>
    </row>
    <row r="65" spans="1:4" x14ac:dyDescent="0.25">
      <c r="B65" s="22" t="s">
        <v>43</v>
      </c>
      <c r="C65" s="15">
        <f>C64/D38</f>
        <v>46.896248190053036</v>
      </c>
      <c r="D65" t="s">
        <v>15</v>
      </c>
    </row>
    <row r="66" spans="1:4" x14ac:dyDescent="0.25">
      <c r="B66" s="22" t="s">
        <v>44</v>
      </c>
      <c r="C66" s="15">
        <f>C65*D39</f>
        <v>51.116910527157813</v>
      </c>
      <c r="D66" t="s">
        <v>15</v>
      </c>
    </row>
    <row r="68" spans="1:4" ht="15.75" x14ac:dyDescent="0.25">
      <c r="A68" s="1" t="s">
        <v>40</v>
      </c>
    </row>
    <row r="69" spans="1:4" ht="9" customHeight="1" x14ac:dyDescent="0.25">
      <c r="A69" s="1"/>
    </row>
    <row r="70" spans="1:4" ht="30" x14ac:dyDescent="0.25">
      <c r="B70" s="3" t="s">
        <v>66</v>
      </c>
      <c r="C70" s="3" t="s">
        <v>42</v>
      </c>
    </row>
    <row r="71" spans="1:4" x14ac:dyDescent="0.25">
      <c r="A71" t="s">
        <v>41</v>
      </c>
      <c r="B71" s="15">
        <f>C65</f>
        <v>46.896248190053036</v>
      </c>
      <c r="C71" s="15">
        <f>C66</f>
        <v>51.116910527157813</v>
      </c>
    </row>
    <row r="72" spans="1:4" x14ac:dyDescent="0.25">
      <c r="A72" t="s">
        <v>45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46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47</v>
      </c>
      <c r="B74" s="23">
        <f>-B17*D12*0.003413</f>
        <v>-30.927859887237837</v>
      </c>
      <c r="C74" s="23">
        <f>B74*D8</f>
        <v>-97.422758644799188</v>
      </c>
    </row>
    <row r="75" spans="1:4" x14ac:dyDescent="0.25">
      <c r="A75" s="35" t="s">
        <v>48</v>
      </c>
      <c r="B75" s="36">
        <f>SUM(B71:B74)</f>
        <v>39.100047126344613</v>
      </c>
      <c r="C75" s="37">
        <f>SUM(C71:C74)</f>
        <v>5.6843418860808015E-12</v>
      </c>
    </row>
    <row r="77" spans="1:4" x14ac:dyDescent="0.25">
      <c r="A77" t="s">
        <v>82</v>
      </c>
      <c r="C77" s="4">
        <f>IF(zero_energy_type=1, source_energy,site_energy)</f>
        <v>5.6843418860808015E-12</v>
      </c>
    </row>
  </sheetData>
  <pageMargins left="0.7" right="0.7" top="0.75" bottom="0.75" header="0.3" footer="0.3"/>
  <pageSetup scale="72" fitToHeight="0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List Box 5">
              <controlPr defaultSize="0" autoLine="0" autoPict="0">
                <anchor moveWithCells="1">
                  <from>
                    <xdr:col>4</xdr:col>
                    <xdr:colOff>619125</xdr:colOff>
                    <xdr:row>3</xdr:row>
                    <xdr:rowOff>180975</xdr:rowOff>
                  </from>
                  <to>
                    <xdr:col>6</xdr:col>
                    <xdr:colOff>85725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4" sqref="A4"/>
    </sheetView>
  </sheetViews>
  <sheetFormatPr defaultRowHeight="15" x14ac:dyDescent="0.25"/>
  <cols>
    <col min="1" max="1" width="14.5703125" customWidth="1"/>
  </cols>
  <sheetData>
    <row r="2" spans="1:1" x14ac:dyDescent="0.25">
      <c r="A2" s="30" t="s">
        <v>65</v>
      </c>
    </row>
    <row r="3" spans="1:1" x14ac:dyDescent="0.25">
      <c r="A3" t="s">
        <v>80</v>
      </c>
    </row>
    <row r="4" spans="1:1" x14ac:dyDescent="0.25">
      <c r="A4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cp:lastPrinted>2015-11-09T17:07:24Z</cp:lastPrinted>
  <dcterms:created xsi:type="dcterms:W3CDTF">2015-11-08T01:18:33Z</dcterms:created>
  <dcterms:modified xsi:type="dcterms:W3CDTF">2015-11-09T17:08:24Z</dcterms:modified>
</cp:coreProperties>
</file>