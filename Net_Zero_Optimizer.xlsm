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70" windowWidth="21660" windowHeight="11955"/>
  </bookViews>
  <sheets>
    <sheet name="Model" sheetId="1" r:id="rId1"/>
    <sheet name="Details" sheetId="2" r:id="rId2"/>
    <sheet name="Sheet3" sheetId="3" r:id="rId3"/>
  </sheets>
  <definedNames>
    <definedName name="energy_types">Details!$A$3:$A$4</definedName>
    <definedName name="opt_inputs">Model!$B$17:$B$20</definedName>
    <definedName name="pv_kW">Model!$B$17</definedName>
    <definedName name="pv_limit">Model!$D$22</definedName>
    <definedName name="site_energy">Model!$B$75</definedName>
    <definedName name="solver_adj" localSheetId="0" hidden="1">Model!$B$17:$B$20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Model!$B$17</definedName>
    <definedName name="solver_lhs10" localSheetId="0" hidden="1">Model!$C$75</definedName>
    <definedName name="solver_lhs11" localSheetId="0" hidden="1">Model!$C$75</definedName>
    <definedName name="solver_lhs12" localSheetId="0" hidden="1">Model!$C$75</definedName>
    <definedName name="solver_lhs13" localSheetId="0" hidden="1">Model!$C$75</definedName>
    <definedName name="solver_lhs14" localSheetId="0" hidden="1">Model!$C$75</definedName>
    <definedName name="solver_lhs15" localSheetId="0" hidden="1">Model!$C$75</definedName>
    <definedName name="solver_lhs2" localSheetId="0" hidden="1">Model!$C$77</definedName>
    <definedName name="solver_lhs3" localSheetId="0" hidden="1">Model!$C$75</definedName>
    <definedName name="solver_lhs4" localSheetId="0" hidden="1">Model!$C$75</definedName>
    <definedName name="solver_lhs5" localSheetId="0" hidden="1">Model!$C$75</definedName>
    <definedName name="solver_lhs6" localSheetId="0" hidden="1">Model!$C$75</definedName>
    <definedName name="solver_lhs7" localSheetId="0" hidden="1">Model!$C$75</definedName>
    <definedName name="solver_lhs8" localSheetId="0" hidden="1">Model!$C$75</definedName>
    <definedName name="solver_lhs9" localSheetId="0" hidden="1">Model!$C$75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Model!$H$21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el6" localSheetId="0" hidden="1">1</definedName>
    <definedName name="solver_rel7" localSheetId="0" hidden="1">1</definedName>
    <definedName name="solver_rel8" localSheetId="0" hidden="1">1</definedName>
    <definedName name="solver_rel9" localSheetId="0" hidden="1">1</definedName>
    <definedName name="solver_rhs1" localSheetId="0" hidden="1">pv_limit</definedName>
    <definedName name="solver_rhs10" localSheetId="0" hidden="1">0</definedName>
    <definedName name="solver_rhs11" localSheetId="0" hidden="1">0</definedName>
    <definedName name="solver_rhs12" localSheetId="0" hidden="1">0</definedName>
    <definedName name="solver_rhs13" localSheetId="0" hidden="1">0</definedName>
    <definedName name="solver_rhs14" localSheetId="0" hidden="1">0</definedName>
    <definedName name="solver_rhs15" localSheetId="0" hidden="1">0</definedName>
    <definedName name="solver_rhs2" localSheetId="0" hidden="1">0</definedName>
    <definedName name="solver_rhs3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0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ource_energy">Model!$C$75</definedName>
    <definedName name="tot_cost">Model!$H$21</definedName>
    <definedName name="zero_energy_amt">Model!$C$77</definedName>
    <definedName name="zero_energy_type">Model!$F$5</definedName>
  </definedNames>
  <calcPr calcId="145621"/>
</workbook>
</file>

<file path=xl/calcChain.xml><?xml version="1.0" encoding="utf-8"?>
<calcChain xmlns="http://schemas.openxmlformats.org/spreadsheetml/2006/main">
  <c r="D43" i="1" l="1"/>
  <c r="H18" i="1"/>
  <c r="B52" i="1"/>
  <c r="D33" i="1"/>
  <c r="B28" i="1"/>
  <c r="B27" i="1"/>
  <c r="C62" i="1" l="1"/>
  <c r="B74" i="1" l="1"/>
  <c r="C74" i="1" s="1"/>
  <c r="B73" i="1"/>
  <c r="C73" i="1" s="1"/>
  <c r="G34" i="1" l="1"/>
  <c r="B58" i="1"/>
  <c r="B56" i="1"/>
  <c r="H17" i="1"/>
  <c r="C63" i="1"/>
  <c r="D46" i="1"/>
  <c r="B72" i="1" s="1"/>
  <c r="C72" i="1" s="1"/>
  <c r="C30" i="1"/>
  <c r="B55" i="1" s="1"/>
  <c r="H19" i="1"/>
  <c r="B53" i="1" l="1"/>
  <c r="B29" i="1"/>
  <c r="H20" i="1" s="1"/>
  <c r="B57" i="1"/>
  <c r="H21" i="1" l="1"/>
  <c r="B54" i="1"/>
  <c r="B59" i="1" s="1"/>
  <c r="C61" i="1" s="1"/>
  <c r="C64" i="1" l="1"/>
  <c r="C65" i="1" s="1"/>
  <c r="C66" i="1" l="1"/>
  <c r="C71" i="1" s="1"/>
  <c r="C75" i="1" s="1"/>
  <c r="B71" i="1"/>
  <c r="B75" i="1" s="1"/>
  <c r="C77" i="1" l="1"/>
</calcChain>
</file>

<file path=xl/comments1.xml><?xml version="1.0" encoding="utf-8"?>
<comments xmlns="http://schemas.openxmlformats.org/spreadsheetml/2006/main">
  <authors>
    <author>Alan</author>
  </authors>
  <commentList>
    <comment ref="F17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Lime Solar incremental price measured between 2.85 kW system and 4.56 kW system was $3,160/kW.  Beyond 16, another string would need to be started, so there would a slight cost jump.  No tax credit considered here.</t>
        </r>
      </text>
    </comment>
    <comment ref="H18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Nets out windows and door.</t>
        </r>
      </text>
    </comment>
    <comment ref="B20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This effective R-value including insulating value of ground.</t>
        </r>
      </text>
    </comment>
    <comment ref="B52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Nets out widows and door.</t>
        </r>
      </text>
    </comment>
  </commentList>
</comments>
</file>

<file path=xl/sharedStrings.xml><?xml version="1.0" encoding="utf-8"?>
<sst xmlns="http://schemas.openxmlformats.org/spreadsheetml/2006/main" count="109" uniqueCount="85">
  <si>
    <t>Ceiling</t>
  </si>
  <si>
    <t>Floor</t>
  </si>
  <si>
    <t>Doors</t>
  </si>
  <si>
    <t>Walls</t>
  </si>
  <si>
    <t>Windows</t>
  </si>
  <si>
    <t>Sq. Feet</t>
  </si>
  <si>
    <t>R-Value</t>
  </si>
  <si>
    <t>Air Volume:</t>
  </si>
  <si>
    <t>ft3</t>
  </si>
  <si>
    <t>Average Ventilation Rate:</t>
  </si>
  <si>
    <t>CFM</t>
  </si>
  <si>
    <t>Heat Recovery Efficiency:</t>
  </si>
  <si>
    <t>deg F</t>
  </si>
  <si>
    <t>Indoor Temperature:</t>
  </si>
  <si>
    <t>Useable Solar Gains:</t>
  </si>
  <si>
    <t>MMBtu/year</t>
  </si>
  <si>
    <t>kWh/year</t>
  </si>
  <si>
    <t>Heating System Efficiency:</t>
  </si>
  <si>
    <t>Heating Fuel Site-to-Source Multiplier:</t>
  </si>
  <si>
    <t>DHW Annual Load:</t>
  </si>
  <si>
    <t>DHW Heating Efficiency:</t>
  </si>
  <si>
    <t>DHW Fuel Site-to-Source Multiplier:</t>
  </si>
  <si>
    <t>Site-to-Source Multiplier for Electricity:</t>
  </si>
  <si>
    <t>Wall R-value:</t>
  </si>
  <si>
    <t>Ceiling R-value</t>
  </si>
  <si>
    <t>Floor R-value</t>
  </si>
  <si>
    <t>PV Kilowatts:</t>
  </si>
  <si>
    <t>kW</t>
  </si>
  <si>
    <t>/kW</t>
  </si>
  <si>
    <t>R</t>
  </si>
  <si>
    <t>No Garage modeled!</t>
  </si>
  <si>
    <t>/R-value/ft2</t>
  </si>
  <si>
    <t>above</t>
  </si>
  <si>
    <t>Natural Leakage</t>
  </si>
  <si>
    <t>Ventilation</t>
  </si>
  <si>
    <t>Air Tightness @ 50 Pa</t>
  </si>
  <si>
    <t>ACH natural</t>
  </si>
  <si>
    <t>Net Load:</t>
  </si>
  <si>
    <t>Gross Heat Load:</t>
  </si>
  <si>
    <t>Total Energy Use &amp; Production</t>
  </si>
  <si>
    <t>Space Heating</t>
  </si>
  <si>
    <t>Source MMBtu</t>
  </si>
  <si>
    <t>Fuel Use:</t>
  </si>
  <si>
    <t>Source Energy:</t>
  </si>
  <si>
    <t>DHW</t>
  </si>
  <si>
    <t>Lights / Appliances</t>
  </si>
  <si>
    <t>PV Production</t>
  </si>
  <si>
    <t>TOTAL:</t>
  </si>
  <si>
    <t>Avg Annual Outdoor Temperature:</t>
  </si>
  <si>
    <t>to minimize Net Zero construction cost.</t>
  </si>
  <si>
    <t>Fixed (not optimized) Home Characteristics</t>
  </si>
  <si>
    <t>Total Incremental Cost</t>
  </si>
  <si>
    <t>costing incrementally</t>
  </si>
  <si>
    <t>(electricity = 3.15, gas = 1.09, oil = 1.19, propane = 1.15)</t>
  </si>
  <si>
    <t>45 gallons HW use / day is about 11 MMBtu/year</t>
  </si>
  <si>
    <t>Lights and Appliances Electricity Use:</t>
  </si>
  <si>
    <t>Limit on PV capacity due to space:</t>
  </si>
  <si>
    <t>Climate Inputs</t>
  </si>
  <si>
    <t>Useable Internal Gains:</t>
  </si>
  <si>
    <r>
      <t xml:space="preserve">Blue Numbers </t>
    </r>
    <r>
      <rPr>
        <sz val="11"/>
        <rFont val="Calibri"/>
        <family val="2"/>
        <scheme val="minor"/>
      </rPr>
      <t>are inputs; other numbers are formulas.</t>
    </r>
  </si>
  <si>
    <t xml:space="preserve">     "</t>
  </si>
  <si>
    <t xml:space="preserve">        |
        |
       \/</t>
  </si>
  <si>
    <t>&lt;- this cost is minimized by Solver</t>
  </si>
  <si>
    <t>ACH @ 50 Pa, which is:</t>
  </si>
  <si>
    <t>Types of Energy Measurements</t>
  </si>
  <si>
    <t>Site MMBtu</t>
  </si>
  <si>
    <t xml:space="preserve">The boxed inputs below are chosen by Excel's Solver </t>
  </si>
  <si>
    <t>currently is a formula tied to window area</t>
  </si>
  <si>
    <t>Btu/hr/deg F</t>
  </si>
  <si>
    <t>kW  (set to a high number to have no limit on PV)</t>
  </si>
  <si>
    <t>Useability of Internal Gains:</t>
  </si>
  <si>
    <t>(% of internal gains that offset space heating load)</t>
  </si>
  <si>
    <t xml:space="preserve">currently uses Lts/App electric use + 3 people that are 75% present. </t>
  </si>
  <si>
    <t>Solver will honor this constraint when picking a PV Kilowatt size.</t>
  </si>
  <si>
    <t>Space Heating Energy Use Model</t>
  </si>
  <si>
    <t>kWh/year/kW (Anchorage, AK is about 920 kWh/year/kW)</t>
  </si>
  <si>
    <t>Annual PV Production per kW of PV Panels:</t>
  </si>
  <si>
    <t>Use PVWatts to determine this input for your climate.</t>
  </si>
  <si>
    <t>What Energy Measurement is being used to assess Net Zero:</t>
  </si>
  <si>
    <t>Source Energy</t>
  </si>
  <si>
    <t>Site Energy</t>
  </si>
  <si>
    <t>Energy being zeroed by Solver:</t>
  </si>
  <si>
    <t>Net Zero Energy Optimization</t>
  </si>
  <si>
    <t>Optimize PV capacity and R-values to minimize the cost of reaching Net Zero Energy.</t>
  </si>
  <si>
    <t>Heat Loss Coeff., 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</si>
</sst>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* #,##0.000_);_(* \(#,##0.000\);_(* &quot;-&quot;??_);_(@_)"/>
    <numFmt numFmtId="167" formatCode="_(&quot;$&quot;* #,##0_);_(&quot;$&quot;* \(#,##0\);_(&quot;$&quot;* &quot;-&quot;??_);_(@_)"/>
    <numFmt numFmtId="168" formatCode="0.0"/>
    <numFmt numFmtId="169" formatCode="#,##0.0_);\(#,##0.0\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 wrapText="1"/>
    </xf>
    <xf numFmtId="164" fontId="0" fillId="0" borderId="0" xfId="1" applyNumberFormat="1" applyFont="1"/>
    <xf numFmtId="165" fontId="5" fillId="0" borderId="0" xfId="1" applyNumberFormat="1" applyFont="1"/>
    <xf numFmtId="43" fontId="5" fillId="0" borderId="0" xfId="1" applyFont="1"/>
    <xf numFmtId="9" fontId="5" fillId="0" borderId="0" xfId="0" applyNumberFormat="1" applyFont="1"/>
    <xf numFmtId="164" fontId="5" fillId="0" borderId="0" xfId="1" applyNumberFormat="1" applyFont="1"/>
    <xf numFmtId="9" fontId="5" fillId="0" borderId="0" xfId="3" applyFont="1"/>
    <xf numFmtId="167" fontId="0" fillId="0" borderId="0" xfId="2" applyNumberFormat="1" applyFont="1"/>
    <xf numFmtId="0" fontId="0" fillId="0" borderId="0" xfId="0" quotePrefix="1"/>
    <xf numFmtId="167" fontId="5" fillId="0" borderId="0" xfId="2" applyNumberFormat="1" applyFont="1"/>
    <xf numFmtId="44" fontId="5" fillId="0" borderId="0" xfId="2" applyFont="1"/>
    <xf numFmtId="168" fontId="0" fillId="0" borderId="0" xfId="0" applyNumberFormat="1"/>
    <xf numFmtId="164" fontId="0" fillId="0" borderId="0" xfId="0" applyNumberFormat="1"/>
    <xf numFmtId="165" fontId="0" fillId="0" borderId="0" xfId="0" applyNumberFormat="1" applyAlignment="1">
      <alignment horizontal="right"/>
    </xf>
    <xf numFmtId="164" fontId="0" fillId="0" borderId="2" xfId="0" applyNumberFormat="1" applyBorder="1"/>
    <xf numFmtId="43" fontId="5" fillId="0" borderId="0" xfId="1" applyNumberFormat="1" applyFont="1"/>
    <xf numFmtId="166" fontId="4" fillId="0" borderId="0" xfId="1" applyNumberFormat="1" applyFont="1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right"/>
    </xf>
    <xf numFmtId="164" fontId="0" fillId="0" borderId="1" xfId="1" applyNumberFormat="1" applyFont="1" applyBorder="1"/>
    <xf numFmtId="43" fontId="5" fillId="0" borderId="3" xfId="1" applyFont="1" applyBorder="1"/>
    <xf numFmtId="165" fontId="5" fillId="0" borderId="4" xfId="1" applyNumberFormat="1" applyFont="1" applyBorder="1"/>
    <xf numFmtId="165" fontId="5" fillId="0" borderId="5" xfId="1" applyNumberFormat="1" applyFont="1" applyBorder="1"/>
    <xf numFmtId="165" fontId="5" fillId="0" borderId="0" xfId="1" applyNumberFormat="1" applyFont="1" applyBorder="1"/>
    <xf numFmtId="167" fontId="0" fillId="0" borderId="0" xfId="2" applyNumberFormat="1" applyFont="1" applyBorder="1"/>
    <xf numFmtId="169" fontId="0" fillId="0" borderId="0" xfId="1" applyNumberFormat="1" applyFont="1"/>
    <xf numFmtId="0" fontId="7" fillId="0" borderId="0" xfId="0" applyFont="1"/>
    <xf numFmtId="0" fontId="5" fillId="0" borderId="0" xfId="0" applyFont="1"/>
    <xf numFmtId="0" fontId="0" fillId="0" borderId="0" xfId="0" applyAlignment="1">
      <alignment wrapText="1"/>
    </xf>
    <xf numFmtId="0" fontId="4" fillId="0" borderId="0" xfId="0" applyFont="1"/>
    <xf numFmtId="167" fontId="7" fillId="0" borderId="2" xfId="2" applyNumberFormat="1" applyFont="1" applyBorder="1"/>
    <xf numFmtId="0" fontId="7" fillId="0" borderId="0" xfId="0" applyFont="1" applyAlignment="1">
      <alignment horizontal="right"/>
    </xf>
    <xf numFmtId="164" fontId="7" fillId="0" borderId="0" xfId="0" applyNumberFormat="1" applyFont="1"/>
    <xf numFmtId="169" fontId="7" fillId="0" borderId="0" xfId="0" applyNumberFormat="1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22" fmlaLink="$F$5" fmlaRange="energy_types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15</xdr:row>
          <xdr:rowOff>76200</xdr:rowOff>
        </xdr:from>
        <xdr:to>
          <xdr:col>3</xdr:col>
          <xdr:colOff>381000</xdr:colOff>
          <xdr:row>15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619125</xdr:colOff>
          <xdr:row>3</xdr:row>
          <xdr:rowOff>180975</xdr:rowOff>
        </xdr:from>
        <xdr:to>
          <xdr:col>6</xdr:col>
          <xdr:colOff>85725</xdr:colOff>
          <xdr:row>5</xdr:row>
          <xdr:rowOff>133350</xdr:rowOff>
        </xdr:to>
        <xdr:sp macro="" textlink="">
          <xdr:nvSpPr>
            <xdr:cNvPr id="1029" name="List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77"/>
  <sheetViews>
    <sheetView tabSelected="1" workbookViewId="0">
      <selection activeCell="D43" sqref="D43"/>
    </sheetView>
  </sheetViews>
  <sheetFormatPr defaultRowHeight="15" x14ac:dyDescent="0.25"/>
  <cols>
    <col min="1" max="1" width="18.42578125" customWidth="1"/>
    <col min="2" max="2" width="10.42578125" customWidth="1"/>
    <col min="3" max="3" width="10.5703125" customWidth="1"/>
    <col min="5" max="5" width="11.5703125" customWidth="1"/>
    <col min="6" max="6" width="12.5703125" customWidth="1"/>
    <col min="7" max="7" width="11.5703125" customWidth="1"/>
    <col min="8" max="8" width="12.28515625" customWidth="1"/>
    <col min="9" max="9" width="10.7109375" customWidth="1"/>
  </cols>
  <sheetData>
    <row r="1" spans="1:8" ht="18.75" x14ac:dyDescent="0.3">
      <c r="A1" s="2" t="s">
        <v>82</v>
      </c>
    </row>
    <row r="2" spans="1:8" x14ac:dyDescent="0.25">
      <c r="A2" t="s">
        <v>83</v>
      </c>
    </row>
    <row r="3" spans="1:8" x14ac:dyDescent="0.25">
      <c r="A3" s="31" t="s">
        <v>59</v>
      </c>
    </row>
    <row r="4" spans="1:8" x14ac:dyDescent="0.25">
      <c r="A4" s="33"/>
    </row>
    <row r="5" spans="1:8" x14ac:dyDescent="0.25">
      <c r="A5" s="33" t="s">
        <v>78</v>
      </c>
      <c r="F5">
        <v>1</v>
      </c>
    </row>
    <row r="6" spans="1:8" x14ac:dyDescent="0.25">
      <c r="A6" s="33"/>
    </row>
    <row r="7" spans="1:8" x14ac:dyDescent="0.25">
      <c r="A7" t="s">
        <v>55</v>
      </c>
      <c r="D7" s="5">
        <v>3000</v>
      </c>
      <c r="E7" t="s">
        <v>16</v>
      </c>
    </row>
    <row r="8" spans="1:8" x14ac:dyDescent="0.25">
      <c r="A8" t="s">
        <v>22</v>
      </c>
      <c r="D8" s="6">
        <v>3.15</v>
      </c>
    </row>
    <row r="9" spans="1:8" x14ac:dyDescent="0.25">
      <c r="D9" s="6"/>
    </row>
    <row r="10" spans="1:8" x14ac:dyDescent="0.25">
      <c r="A10" s="30" t="s">
        <v>57</v>
      </c>
      <c r="D10" s="6"/>
    </row>
    <row r="11" spans="1:8" x14ac:dyDescent="0.25">
      <c r="A11" t="s">
        <v>48</v>
      </c>
      <c r="D11" s="5">
        <v>36</v>
      </c>
      <c r="E11" t="s">
        <v>12</v>
      </c>
    </row>
    <row r="12" spans="1:8" x14ac:dyDescent="0.25">
      <c r="A12" t="s">
        <v>76</v>
      </c>
      <c r="D12" s="5">
        <v>920</v>
      </c>
      <c r="E12" t="s">
        <v>75</v>
      </c>
    </row>
    <row r="13" spans="1:8" x14ac:dyDescent="0.25">
      <c r="D13" s="5"/>
      <c r="E13" t="s">
        <v>77</v>
      </c>
    </row>
    <row r="14" spans="1:8" x14ac:dyDescent="0.25">
      <c r="A14" t="s">
        <v>66</v>
      </c>
    </row>
    <row r="15" spans="1:8" x14ac:dyDescent="0.25">
      <c r="A15" t="s">
        <v>49</v>
      </c>
    </row>
    <row r="16" spans="1:8" ht="45.75" thickBot="1" x14ac:dyDescent="0.3">
      <c r="B16" s="32" t="s">
        <v>61</v>
      </c>
      <c r="H16" s="3" t="s">
        <v>51</v>
      </c>
    </row>
    <row r="17" spans="1:9" x14ac:dyDescent="0.25">
      <c r="A17" t="s">
        <v>26</v>
      </c>
      <c r="B17" s="24">
        <v>9.0149336578851589</v>
      </c>
      <c r="C17" t="s">
        <v>27</v>
      </c>
      <c r="D17" t="s">
        <v>52</v>
      </c>
      <c r="F17" s="12">
        <v>3300</v>
      </c>
      <c r="G17" s="11" t="s">
        <v>28</v>
      </c>
      <c r="H17" s="10">
        <f>B17*F17</f>
        <v>29749.281071021025</v>
      </c>
    </row>
    <row r="18" spans="1:9" x14ac:dyDescent="0.25">
      <c r="A18" t="s">
        <v>23</v>
      </c>
      <c r="B18" s="25">
        <v>28.335980170063078</v>
      </c>
      <c r="C18" t="s">
        <v>29</v>
      </c>
      <c r="D18" t="s">
        <v>52</v>
      </c>
      <c r="F18" s="13">
        <v>0.15</v>
      </c>
      <c r="G18" s="11" t="s">
        <v>31</v>
      </c>
      <c r="H18" s="10">
        <f>B18*F18*(B27-B30-B31)</f>
        <v>4972.9645198460703</v>
      </c>
    </row>
    <row r="19" spans="1:9" x14ac:dyDescent="0.25">
      <c r="A19" t="s">
        <v>24</v>
      </c>
      <c r="B19" s="25">
        <v>54.878345862717886</v>
      </c>
      <c r="C19" t="s">
        <v>29</v>
      </c>
      <c r="D19" t="s">
        <v>52</v>
      </c>
      <c r="F19" s="13">
        <v>0.04</v>
      </c>
      <c r="G19" s="11" t="s">
        <v>31</v>
      </c>
      <c r="H19" s="10">
        <f>B19*F19*B28</f>
        <v>4425.389810369571</v>
      </c>
    </row>
    <row r="20" spans="1:9" ht="15.75" thickBot="1" x14ac:dyDescent="0.3">
      <c r="A20" t="s">
        <v>25</v>
      </c>
      <c r="B20" s="26">
        <v>44.798716039317647</v>
      </c>
      <c r="C20" t="s">
        <v>29</v>
      </c>
      <c r="D20" t="s">
        <v>52</v>
      </c>
      <c r="F20" s="13">
        <v>0.06</v>
      </c>
      <c r="G20" s="11" t="s">
        <v>31</v>
      </c>
      <c r="H20" s="10">
        <f>B20*F20*B29</f>
        <v>5418.8526921158618</v>
      </c>
    </row>
    <row r="21" spans="1:9" x14ac:dyDescent="0.25">
      <c r="B21" s="27"/>
      <c r="F21" s="13"/>
      <c r="G21" s="11"/>
      <c r="H21" s="34">
        <f>SUM(H17:H20)</f>
        <v>44566.488093352527</v>
      </c>
      <c r="I21" t="s">
        <v>62</v>
      </c>
    </row>
    <row r="22" spans="1:9" x14ac:dyDescent="0.25">
      <c r="A22" t="s">
        <v>56</v>
      </c>
      <c r="B22" s="27"/>
      <c r="D22" s="8">
        <v>99</v>
      </c>
      <c r="E22" t="s">
        <v>69</v>
      </c>
      <c r="F22" s="13"/>
      <c r="G22" s="11"/>
      <c r="H22" s="28"/>
    </row>
    <row r="23" spans="1:9" x14ac:dyDescent="0.25">
      <c r="E23" t="s">
        <v>73</v>
      </c>
      <c r="G23" s="29"/>
    </row>
    <row r="24" spans="1:9" ht="15.75" x14ac:dyDescent="0.25">
      <c r="A24" s="1" t="s">
        <v>50</v>
      </c>
    </row>
    <row r="25" spans="1:9" ht="9" customHeight="1" x14ac:dyDescent="0.25">
      <c r="A25" s="1"/>
    </row>
    <row r="26" spans="1:9" x14ac:dyDescent="0.25">
      <c r="B26" s="3" t="s">
        <v>5</v>
      </c>
      <c r="C26" s="3" t="s">
        <v>6</v>
      </c>
      <c r="E26" t="s">
        <v>30</v>
      </c>
    </row>
    <row r="27" spans="1:9" x14ac:dyDescent="0.25">
      <c r="A27" t="s">
        <v>3</v>
      </c>
      <c r="B27" s="5">
        <f>(36+56)*2*8</f>
        <v>1472</v>
      </c>
      <c r="C27" s="16" t="s">
        <v>32</v>
      </c>
    </row>
    <row r="28" spans="1:9" x14ac:dyDescent="0.25">
      <c r="A28" t="s">
        <v>0</v>
      </c>
      <c r="B28" s="5">
        <f>36*56</f>
        <v>2016</v>
      </c>
      <c r="C28" s="16" t="s">
        <v>32</v>
      </c>
      <c r="D28" s="14"/>
    </row>
    <row r="29" spans="1:9" x14ac:dyDescent="0.25">
      <c r="A29" t="s">
        <v>1</v>
      </c>
      <c r="B29" s="5">
        <f>B28</f>
        <v>2016</v>
      </c>
      <c r="C29" s="16" t="s">
        <v>32</v>
      </c>
      <c r="D29" s="14"/>
    </row>
    <row r="30" spans="1:9" x14ac:dyDescent="0.25">
      <c r="A30" t="s">
        <v>4</v>
      </c>
      <c r="B30" s="5">
        <v>260</v>
      </c>
      <c r="C30" s="6">
        <f>1/0.16</f>
        <v>6.25</v>
      </c>
      <c r="D30" s="14"/>
    </row>
    <row r="31" spans="1:9" x14ac:dyDescent="0.25">
      <c r="A31" t="s">
        <v>2</v>
      </c>
      <c r="B31" s="5">
        <v>42</v>
      </c>
      <c r="C31" s="6">
        <v>7</v>
      </c>
      <c r="D31" s="14"/>
    </row>
    <row r="33" spans="1:9" x14ac:dyDescent="0.25">
      <c r="A33" t="s">
        <v>7</v>
      </c>
      <c r="D33" s="5">
        <f>2016*8</f>
        <v>16128</v>
      </c>
      <c r="E33" t="s">
        <v>8</v>
      </c>
    </row>
    <row r="34" spans="1:9" x14ac:dyDescent="0.25">
      <c r="A34" t="s">
        <v>35</v>
      </c>
      <c r="D34" s="18">
        <v>1</v>
      </c>
      <c r="E34" t="s">
        <v>63</v>
      </c>
      <c r="G34" s="19">
        <f>D34/18</f>
        <v>5.5555555555555552E-2</v>
      </c>
      <c r="H34" t="s">
        <v>36</v>
      </c>
    </row>
    <row r="35" spans="1:9" x14ac:dyDescent="0.25">
      <c r="A35" t="s">
        <v>9</v>
      </c>
      <c r="D35" s="5">
        <v>60</v>
      </c>
      <c r="E35" t="s">
        <v>10</v>
      </c>
    </row>
    <row r="36" spans="1:9" x14ac:dyDescent="0.25">
      <c r="A36" t="s">
        <v>11</v>
      </c>
      <c r="D36" s="7">
        <v>0.8</v>
      </c>
    </row>
    <row r="38" spans="1:9" x14ac:dyDescent="0.25">
      <c r="A38" t="s">
        <v>17</v>
      </c>
      <c r="D38" s="9">
        <v>0.9</v>
      </c>
      <c r="I38" s="9"/>
    </row>
    <row r="39" spans="1:9" x14ac:dyDescent="0.25">
      <c r="A39" t="s">
        <v>18</v>
      </c>
      <c r="D39" s="6">
        <v>1.0900000000000001</v>
      </c>
      <c r="E39" t="s">
        <v>53</v>
      </c>
      <c r="I39" s="6"/>
    </row>
    <row r="41" spans="1:9" x14ac:dyDescent="0.25">
      <c r="A41" t="s">
        <v>13</v>
      </c>
      <c r="D41" s="5">
        <v>70</v>
      </c>
      <c r="E41" t="s">
        <v>12</v>
      </c>
    </row>
    <row r="43" spans="1:9" x14ac:dyDescent="0.25">
      <c r="A43" t="s">
        <v>14</v>
      </c>
      <c r="D43" s="8">
        <f>10*B30/260</f>
        <v>10</v>
      </c>
      <c r="E43" t="s">
        <v>15</v>
      </c>
      <c r="G43" t="s">
        <v>67</v>
      </c>
    </row>
    <row r="44" spans="1:9" x14ac:dyDescent="0.25">
      <c r="A44" t="s">
        <v>70</v>
      </c>
      <c r="D44" s="7">
        <v>0.99</v>
      </c>
      <c r="E44" t="s">
        <v>71</v>
      </c>
    </row>
    <row r="46" spans="1:9" x14ac:dyDescent="0.25">
      <c r="A46" t="s">
        <v>19</v>
      </c>
      <c r="D46" s="8">
        <f>45*365*8.34*(120-40)/1000000</f>
        <v>10.95876</v>
      </c>
      <c r="E46" t="s">
        <v>15</v>
      </c>
      <c r="G46" t="s">
        <v>54</v>
      </c>
      <c r="I46" s="8"/>
    </row>
    <row r="47" spans="1:9" x14ac:dyDescent="0.25">
      <c r="A47" t="s">
        <v>20</v>
      </c>
      <c r="D47" s="9">
        <v>0.85</v>
      </c>
      <c r="I47" s="9"/>
    </row>
    <row r="48" spans="1:9" x14ac:dyDescent="0.25">
      <c r="A48" t="s">
        <v>21</v>
      </c>
      <c r="D48" s="6">
        <v>1.0900000000000001</v>
      </c>
      <c r="E48" t="s">
        <v>53</v>
      </c>
      <c r="I48" s="6"/>
    </row>
    <row r="50" spans="1:5" ht="15.75" x14ac:dyDescent="0.25">
      <c r="A50" s="1" t="s">
        <v>74</v>
      </c>
    </row>
    <row r="51" spans="1:5" ht="30" x14ac:dyDescent="0.25">
      <c r="B51" s="3" t="s">
        <v>84</v>
      </c>
    </row>
    <row r="52" spans="1:5" x14ac:dyDescent="0.25">
      <c r="A52" t="s">
        <v>3</v>
      </c>
      <c r="B52" s="4">
        <f>(B27-B30-B31)/B18</f>
        <v>41.290260403135917</v>
      </c>
      <c r="C52" t="s">
        <v>68</v>
      </c>
    </row>
    <row r="53" spans="1:5" x14ac:dyDescent="0.25">
      <c r="A53" t="s">
        <v>0</v>
      </c>
      <c r="B53" s="4">
        <f>B28/B19</f>
        <v>36.735801130798812</v>
      </c>
    </row>
    <row r="54" spans="1:5" x14ac:dyDescent="0.25">
      <c r="A54" t="s">
        <v>1</v>
      </c>
      <c r="B54" s="4">
        <f>B29/B20</f>
        <v>45.001289729613127</v>
      </c>
    </row>
    <row r="55" spans="1:5" x14ac:dyDescent="0.25">
      <c r="A55" t="s">
        <v>4</v>
      </c>
      <c r="B55" s="4">
        <f>B30/C30</f>
        <v>41.6</v>
      </c>
    </row>
    <row r="56" spans="1:5" x14ac:dyDescent="0.25">
      <c r="A56" t="s">
        <v>2</v>
      </c>
      <c r="B56" s="4">
        <f>B31/C31</f>
        <v>6</v>
      </c>
    </row>
    <row r="57" spans="1:5" x14ac:dyDescent="0.25">
      <c r="A57" t="s">
        <v>33</v>
      </c>
      <c r="B57" s="4">
        <f>G34*D33*0.018</f>
        <v>16.128</v>
      </c>
    </row>
    <row r="58" spans="1:5" x14ac:dyDescent="0.25">
      <c r="A58" t="s">
        <v>34</v>
      </c>
      <c r="B58" s="4">
        <f>D35*1.08*(1-D36)</f>
        <v>12.959999999999999</v>
      </c>
    </row>
    <row r="59" spans="1:5" x14ac:dyDescent="0.25">
      <c r="B59" s="17">
        <f>SUM(B52:B58)</f>
        <v>199.71535126354783</v>
      </c>
      <c r="C59" t="s">
        <v>68</v>
      </c>
    </row>
    <row r="61" spans="1:5" x14ac:dyDescent="0.25">
      <c r="A61" t="s">
        <v>38</v>
      </c>
      <c r="C61" s="4">
        <f>B59*(D41-D11)*8766/1000000</f>
        <v>59.523962151992848</v>
      </c>
      <c r="D61" t="s">
        <v>15</v>
      </c>
    </row>
    <row r="62" spans="1:5" x14ac:dyDescent="0.25">
      <c r="A62" t="s">
        <v>58</v>
      </c>
      <c r="C62" s="15">
        <f>-(D7+3*0.75*0.06*8766)*0.003413*D44</f>
        <v>-14.135198546699998</v>
      </c>
      <c r="D62" t="s">
        <v>60</v>
      </c>
      <c r="E62" t="s">
        <v>72</v>
      </c>
    </row>
    <row r="63" spans="1:5" x14ac:dyDescent="0.25">
      <c r="A63" s="20" t="s">
        <v>14</v>
      </c>
      <c r="B63" s="20"/>
      <c r="C63" s="21">
        <f>-D43</f>
        <v>-10</v>
      </c>
      <c r="D63" t="s">
        <v>60</v>
      </c>
    </row>
    <row r="64" spans="1:5" x14ac:dyDescent="0.25">
      <c r="B64" s="22" t="s">
        <v>37</v>
      </c>
      <c r="C64" s="15">
        <f>MAX(0,SUM(C61:C63))</f>
        <v>35.388763605292851</v>
      </c>
      <c r="D64" t="s">
        <v>15</v>
      </c>
    </row>
    <row r="65" spans="1:4" x14ac:dyDescent="0.25">
      <c r="B65" s="22" t="s">
        <v>42</v>
      </c>
      <c r="C65" s="15">
        <f>C64/D38</f>
        <v>39.320848450325393</v>
      </c>
      <c r="D65" t="s">
        <v>15</v>
      </c>
    </row>
    <row r="66" spans="1:4" x14ac:dyDescent="0.25">
      <c r="B66" s="22" t="s">
        <v>43</v>
      </c>
      <c r="C66" s="15">
        <f>C65*D39</f>
        <v>42.859724810854679</v>
      </c>
      <c r="D66" t="s">
        <v>15</v>
      </c>
    </row>
    <row r="68" spans="1:4" ht="15.75" x14ac:dyDescent="0.25">
      <c r="A68" s="1" t="s">
        <v>39</v>
      </c>
    </row>
    <row r="69" spans="1:4" ht="9" customHeight="1" x14ac:dyDescent="0.25">
      <c r="A69" s="1"/>
    </row>
    <row r="70" spans="1:4" ht="30" x14ac:dyDescent="0.25">
      <c r="B70" s="3" t="s">
        <v>65</v>
      </c>
      <c r="C70" s="3" t="s">
        <v>41</v>
      </c>
    </row>
    <row r="71" spans="1:4" x14ac:dyDescent="0.25">
      <c r="A71" t="s">
        <v>40</v>
      </c>
      <c r="B71" s="15">
        <f>C65</f>
        <v>39.320848450325393</v>
      </c>
      <c r="C71" s="15">
        <f>C66</f>
        <v>42.859724810854679</v>
      </c>
    </row>
    <row r="72" spans="1:4" x14ac:dyDescent="0.25">
      <c r="A72" t="s">
        <v>44</v>
      </c>
      <c r="B72" s="4">
        <f>D46/D47</f>
        <v>12.892658823529413</v>
      </c>
      <c r="C72" s="4">
        <f>B72*D48</f>
        <v>14.052998117647061</v>
      </c>
    </row>
    <row r="73" spans="1:4" x14ac:dyDescent="0.25">
      <c r="A73" t="s">
        <v>45</v>
      </c>
      <c r="B73" s="4">
        <f>D7*0.003413</f>
        <v>10.238999999999999</v>
      </c>
      <c r="C73" s="4">
        <f>B73*D8</f>
        <v>32.252849999999995</v>
      </c>
    </row>
    <row r="74" spans="1:4" x14ac:dyDescent="0.25">
      <c r="A74" t="s">
        <v>46</v>
      </c>
      <c r="B74" s="23">
        <f>-B17*D12*0.003413</f>
        <v>-28.306531088413081</v>
      </c>
      <c r="C74" s="23">
        <f>B74*D8</f>
        <v>-89.165572928501206</v>
      </c>
    </row>
    <row r="75" spans="1:4" x14ac:dyDescent="0.25">
      <c r="A75" s="35" t="s">
        <v>47</v>
      </c>
      <c r="B75" s="36">
        <f>SUM(B71:B74)</f>
        <v>34.145976185441718</v>
      </c>
      <c r="C75" s="37">
        <f>SUM(C71:C74)</f>
        <v>5.2580162446247414E-13</v>
      </c>
    </row>
    <row r="77" spans="1:4" x14ac:dyDescent="0.25">
      <c r="A77" t="s">
        <v>81</v>
      </c>
      <c r="C77" s="4">
        <f>IF(zero_energy_type=1, source_energy,site_energy)</f>
        <v>5.2580162446247414E-13</v>
      </c>
    </row>
  </sheetData>
  <pageMargins left="0.7" right="0.7" top="0.75" bottom="0.75" header="0.3" footer="0.3"/>
  <pageSetup scale="72" fitToHeight="0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ptimize_NZ">
                <anchor moveWithCells="1" sizeWithCells="1">
                  <from>
                    <xdr:col>1</xdr:col>
                    <xdr:colOff>619125</xdr:colOff>
                    <xdr:row>15</xdr:row>
                    <xdr:rowOff>76200</xdr:rowOff>
                  </from>
                  <to>
                    <xdr:col>3</xdr:col>
                    <xdr:colOff>381000</xdr:colOff>
                    <xdr:row>15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List Box 5">
              <controlPr defaultSize="0" autoLine="0" autoPict="0">
                <anchor moveWithCells="1">
                  <from>
                    <xdr:col>4</xdr:col>
                    <xdr:colOff>619125</xdr:colOff>
                    <xdr:row>3</xdr:row>
                    <xdr:rowOff>180975</xdr:rowOff>
                  </from>
                  <to>
                    <xdr:col>6</xdr:col>
                    <xdr:colOff>85725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4"/>
  <sheetViews>
    <sheetView workbookViewId="0">
      <selection activeCell="A4" sqref="A4"/>
    </sheetView>
  </sheetViews>
  <sheetFormatPr defaultRowHeight="15" x14ac:dyDescent="0.25"/>
  <cols>
    <col min="1" max="1" width="14.5703125" customWidth="1"/>
  </cols>
  <sheetData>
    <row r="2" spans="1:1" x14ac:dyDescent="0.25">
      <c r="A2" s="30" t="s">
        <v>64</v>
      </c>
    </row>
    <row r="3" spans="1:1" x14ac:dyDescent="0.25">
      <c r="A3" t="s">
        <v>79</v>
      </c>
    </row>
    <row r="4" spans="1:1" x14ac:dyDescent="0.25">
      <c r="A4" t="s">
        <v>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Model</vt:lpstr>
      <vt:lpstr>Details</vt:lpstr>
      <vt:lpstr>Sheet3</vt:lpstr>
      <vt:lpstr>energy_types</vt:lpstr>
      <vt:lpstr>opt_inputs</vt:lpstr>
      <vt:lpstr>pv_kW</vt:lpstr>
      <vt:lpstr>pv_limit</vt:lpstr>
      <vt:lpstr>site_energy</vt:lpstr>
      <vt:lpstr>source_energy</vt:lpstr>
      <vt:lpstr>tot_cost</vt:lpstr>
      <vt:lpstr>zero_energy_amt</vt:lpstr>
      <vt:lpstr>zero_energy_type</vt:lpstr>
    </vt:vector>
  </TitlesOfParts>
  <Company>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</cp:lastModifiedBy>
  <cp:lastPrinted>2015-11-09T17:07:24Z</cp:lastPrinted>
  <dcterms:created xsi:type="dcterms:W3CDTF">2015-11-08T01:18:33Z</dcterms:created>
  <dcterms:modified xsi:type="dcterms:W3CDTF">2015-11-10T16:38:41Z</dcterms:modified>
</cp:coreProperties>
</file>