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C62" i="1" l="1"/>
  <c r="B74" i="1" l="1"/>
  <c r="C74" i="1" s="1"/>
  <c r="B73" i="1"/>
  <c r="C73" i="1" s="1"/>
  <c r="G34" i="1" l="1"/>
  <c r="B58" i="1"/>
  <c r="B56" i="1"/>
  <c r="H17" i="1"/>
  <c r="B27" i="1"/>
  <c r="B52" i="1" s="1"/>
  <c r="D43" i="1"/>
  <c r="C63" i="1" s="1"/>
  <c r="D46" i="1"/>
  <c r="B72" i="1" s="1"/>
  <c r="C72" i="1" s="1"/>
  <c r="D33" i="1"/>
  <c r="C30" i="1"/>
  <c r="B55" i="1" s="1"/>
  <c r="B28" i="1"/>
  <c r="H19" i="1" s="1"/>
  <c r="B53" i="1" l="1"/>
  <c r="B29" i="1"/>
  <c r="H20" i="1" s="1"/>
  <c r="H18" i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<sst xmlns="http://schemas.openxmlformats.org/spreadsheetml/2006/main" count="109" uniqueCount="85">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</sst>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F9" sqref="F9"/>
    </sheetView>
  </sheetViews>
  <sheetFormatPr defaultRowHeight="15" x14ac:dyDescent="0.25"/>
  <cols>
    <col min="1" max="1" width="18.425781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82</v>
      </c>
    </row>
    <row r="2" spans="1:8" x14ac:dyDescent="0.25">
      <c r="A2" t="s">
        <v>83</v>
      </c>
    </row>
    <row r="3" spans="1:8" x14ac:dyDescent="0.25">
      <c r="A3" s="31" t="s">
        <v>59</v>
      </c>
    </row>
    <row r="4" spans="1:8" x14ac:dyDescent="0.25">
      <c r="A4" s="33"/>
    </row>
    <row r="5" spans="1:8" x14ac:dyDescent="0.25">
      <c r="A5" s="33" t="s">
        <v>78</v>
      </c>
      <c r="F5">
        <v>1</v>
      </c>
    </row>
    <row r="6" spans="1:8" x14ac:dyDescent="0.25">
      <c r="A6" s="33"/>
    </row>
    <row r="7" spans="1:8" x14ac:dyDescent="0.25">
      <c r="A7" t="s">
        <v>55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57</v>
      </c>
      <c r="D10" s="6"/>
    </row>
    <row r="11" spans="1:8" x14ac:dyDescent="0.25">
      <c r="A11" t="s">
        <v>48</v>
      </c>
      <c r="D11" s="5">
        <v>35</v>
      </c>
      <c r="E11" t="s">
        <v>12</v>
      </c>
    </row>
    <row r="12" spans="1:8" x14ac:dyDescent="0.25">
      <c r="A12" t="s">
        <v>76</v>
      </c>
      <c r="D12" s="5">
        <v>920</v>
      </c>
      <c r="E12" t="s">
        <v>75</v>
      </c>
    </row>
    <row r="13" spans="1:8" x14ac:dyDescent="0.25">
      <c r="D13" s="5"/>
      <c r="E13" t="s">
        <v>77</v>
      </c>
    </row>
    <row r="14" spans="1:8" x14ac:dyDescent="0.25">
      <c r="A14" t="s">
        <v>66</v>
      </c>
    </row>
    <row r="15" spans="1:8" x14ac:dyDescent="0.25">
      <c r="A15" t="s">
        <v>49</v>
      </c>
    </row>
    <row r="16" spans="1:8" ht="45.75" thickBot="1" x14ac:dyDescent="0.3">
      <c r="B16" s="32" t="s">
        <v>61</v>
      </c>
      <c r="H16" s="3" t="s">
        <v>51</v>
      </c>
    </row>
    <row r="17" spans="1:9" x14ac:dyDescent="0.25">
      <c r="A17" t="s">
        <v>26</v>
      </c>
      <c r="B17" s="24">
        <v>9.1345193344093065</v>
      </c>
      <c r="C17" t="s">
        <v>27</v>
      </c>
      <c r="D17" t="s">
        <v>52</v>
      </c>
      <c r="F17" s="12">
        <v>3300</v>
      </c>
      <c r="G17" s="11" t="s">
        <v>28</v>
      </c>
      <c r="H17" s="10">
        <f>B17*F17</f>
        <v>30143.913803550713</v>
      </c>
    </row>
    <row r="18" spans="1:9" x14ac:dyDescent="0.25">
      <c r="A18" t="s">
        <v>23</v>
      </c>
      <c r="B18" s="25">
        <v>28.748825991230785</v>
      </c>
      <c r="C18" t="s">
        <v>29</v>
      </c>
      <c r="D18" t="s">
        <v>52</v>
      </c>
      <c r="F18" s="13">
        <v>0.15</v>
      </c>
      <c r="G18" s="11" t="s">
        <v>31</v>
      </c>
      <c r="H18" s="10">
        <f>B18*F18*B27</f>
        <v>6485.735143621665</v>
      </c>
    </row>
    <row r="19" spans="1:9" x14ac:dyDescent="0.25">
      <c r="A19" t="s">
        <v>24</v>
      </c>
      <c r="B19" s="25">
        <v>55.672047412784231</v>
      </c>
      <c r="C19" t="s">
        <v>29</v>
      </c>
      <c r="D19" t="s">
        <v>52</v>
      </c>
      <c r="F19" s="13">
        <v>0.04</v>
      </c>
      <c r="G19" s="11" t="s">
        <v>31</v>
      </c>
      <c r="H19" s="10">
        <f>B19*F19*B28</f>
        <v>4649.7293999157391</v>
      </c>
    </row>
    <row r="20" spans="1:9" ht="15.75" thickBot="1" x14ac:dyDescent="0.3">
      <c r="A20" t="s">
        <v>25</v>
      </c>
      <c r="B20" s="26">
        <v>45.453376893485391</v>
      </c>
      <c r="C20" t="s">
        <v>29</v>
      </c>
      <c r="D20" t="s">
        <v>52</v>
      </c>
      <c r="F20" s="13">
        <v>0.06</v>
      </c>
      <c r="G20" s="11" t="s">
        <v>31</v>
      </c>
      <c r="H20" s="10">
        <f>B20*F20*B29</f>
        <v>5694.3990572158491</v>
      </c>
    </row>
    <row r="21" spans="1:9" x14ac:dyDescent="0.25">
      <c r="B21" s="27"/>
      <c r="F21" s="13"/>
      <c r="G21" s="11"/>
      <c r="H21" s="34">
        <f>SUM(H17:H20)</f>
        <v>46973.777404303968</v>
      </c>
      <c r="I21" t="s">
        <v>62</v>
      </c>
    </row>
    <row r="22" spans="1:9" x14ac:dyDescent="0.25">
      <c r="A22" t="s">
        <v>56</v>
      </c>
      <c r="B22" s="27"/>
      <c r="D22" s="8">
        <v>99</v>
      </c>
      <c r="E22" t="s">
        <v>69</v>
      </c>
      <c r="F22" s="13"/>
      <c r="G22" s="11"/>
      <c r="H22" s="28"/>
    </row>
    <row r="23" spans="1:9" x14ac:dyDescent="0.25">
      <c r="E23" t="s">
        <v>73</v>
      </c>
      <c r="G23" s="29"/>
    </row>
    <row r="24" spans="1:9" ht="15.75" x14ac:dyDescent="0.25">
      <c r="A24" s="1" t="s">
        <v>50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30</v>
      </c>
    </row>
    <row r="27" spans="1:9" x14ac:dyDescent="0.25">
      <c r="A27" t="s">
        <v>3</v>
      </c>
      <c r="B27" s="5">
        <f>(36+58)*2*8</f>
        <v>1504</v>
      </c>
      <c r="C27" s="16" t="s">
        <v>32</v>
      </c>
    </row>
    <row r="28" spans="1:9" x14ac:dyDescent="0.25">
      <c r="A28" t="s">
        <v>0</v>
      </c>
      <c r="B28" s="5">
        <f>36*58</f>
        <v>2088</v>
      </c>
      <c r="C28" s="16" t="s">
        <v>32</v>
      </c>
      <c r="D28" s="14"/>
    </row>
    <row r="29" spans="1:9" x14ac:dyDescent="0.25">
      <c r="A29" t="s">
        <v>1</v>
      </c>
      <c r="B29" s="5">
        <f>B28</f>
        <v>2088</v>
      </c>
      <c r="C29" s="16" t="s">
        <v>32</v>
      </c>
      <c r="D29" s="14"/>
    </row>
    <row r="30" spans="1:9" x14ac:dyDescent="0.25">
      <c r="A30" t="s">
        <v>4</v>
      </c>
      <c r="B30" s="5">
        <v>300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2088*8</f>
        <v>16704</v>
      </c>
      <c r="E33" t="s">
        <v>8</v>
      </c>
    </row>
    <row r="34" spans="1:9" x14ac:dyDescent="0.25">
      <c r="A34" t="s">
        <v>35</v>
      </c>
      <c r="D34" s="18">
        <v>1</v>
      </c>
      <c r="E34" t="s">
        <v>63</v>
      </c>
      <c r="G34" s="19">
        <f>D34/18</f>
        <v>5.5555555555555552E-2</v>
      </c>
      <c r="H34" t="s">
        <v>36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53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32*B30/552</f>
        <v>17.391304347826086</v>
      </c>
      <c r="E43" t="s">
        <v>15</v>
      </c>
      <c r="G43" t="s">
        <v>67</v>
      </c>
    </row>
    <row r="44" spans="1:9" x14ac:dyDescent="0.25">
      <c r="A44" t="s">
        <v>70</v>
      </c>
      <c r="D44" s="7">
        <v>0.95</v>
      </c>
      <c r="E44" t="s">
        <v>71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54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53</v>
      </c>
      <c r="I48" s="6"/>
    </row>
    <row r="50" spans="1:5" ht="15.75" x14ac:dyDescent="0.25">
      <c r="A50" s="1" t="s">
        <v>74</v>
      </c>
    </row>
    <row r="51" spans="1:5" ht="30" x14ac:dyDescent="0.25">
      <c r="B51" s="3" t="s">
        <v>84</v>
      </c>
    </row>
    <row r="52" spans="1:5" x14ac:dyDescent="0.25">
      <c r="A52" t="s">
        <v>3</v>
      </c>
      <c r="B52" s="4">
        <f>B27/B18</f>
        <v>52.315179773211021</v>
      </c>
      <c r="C52" t="s">
        <v>68</v>
      </c>
    </row>
    <row r="53" spans="1:5" x14ac:dyDescent="0.25">
      <c r="A53" t="s">
        <v>0</v>
      </c>
      <c r="B53" s="4">
        <f>B28/B19</f>
        <v>37.505356764021634</v>
      </c>
    </row>
    <row r="54" spans="1:5" x14ac:dyDescent="0.25">
      <c r="A54" t="s">
        <v>1</v>
      </c>
      <c r="B54" s="4">
        <f>B29/B20</f>
        <v>45.937180968819561</v>
      </c>
    </row>
    <row r="55" spans="1:5" x14ac:dyDescent="0.25">
      <c r="A55" t="s">
        <v>4</v>
      </c>
      <c r="B55" s="4">
        <f>B30/C30</f>
        <v>48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33</v>
      </c>
      <c r="B57" s="4">
        <f>G34*D33*0.018</f>
        <v>16.703999999999997</v>
      </c>
    </row>
    <row r="58" spans="1:5" x14ac:dyDescent="0.25">
      <c r="A58" t="s">
        <v>34</v>
      </c>
      <c r="B58" s="4">
        <f>D35*1.08*(1-D36)</f>
        <v>12.959999999999999</v>
      </c>
    </row>
    <row r="59" spans="1:5" x14ac:dyDescent="0.25">
      <c r="B59" s="17">
        <f>SUM(B52:B58)</f>
        <v>219.42171750605223</v>
      </c>
      <c r="C59" t="s">
        <v>68</v>
      </c>
    </row>
    <row r="61" spans="1:5" x14ac:dyDescent="0.25">
      <c r="A61" t="s">
        <v>38</v>
      </c>
      <c r="C61" s="4">
        <f>B59*(D41-D11)*8766/1000000</f>
        <v>67.32077714803188</v>
      </c>
      <c r="D61" t="s">
        <v>15</v>
      </c>
    </row>
    <row r="62" spans="1:5" x14ac:dyDescent="0.25">
      <c r="A62" t="s">
        <v>58</v>
      </c>
      <c r="C62" s="15">
        <f>-(D7+3*0.75*0.06*8766)*0.003413*D44</f>
        <v>-13.564079413499998</v>
      </c>
      <c r="D62" t="s">
        <v>60</v>
      </c>
      <c r="E62" t="s">
        <v>72</v>
      </c>
    </row>
    <row r="63" spans="1:5" x14ac:dyDescent="0.25">
      <c r="A63" s="20" t="s">
        <v>14</v>
      </c>
      <c r="B63" s="20"/>
      <c r="C63" s="21">
        <f>-D43</f>
        <v>-17.391304347826086</v>
      </c>
      <c r="D63" t="s">
        <v>60</v>
      </c>
    </row>
    <row r="64" spans="1:5" x14ac:dyDescent="0.25">
      <c r="B64" s="22" t="s">
        <v>37</v>
      </c>
      <c r="C64" s="15">
        <f>MAX(0,SUM(C61:C63))</f>
        <v>36.365393386705797</v>
      </c>
      <c r="D64" t="s">
        <v>15</v>
      </c>
    </row>
    <row r="65" spans="1:4" x14ac:dyDescent="0.25">
      <c r="B65" s="22" t="s">
        <v>42</v>
      </c>
      <c r="C65" s="15">
        <f>C64/D38</f>
        <v>40.405992651895332</v>
      </c>
      <c r="D65" t="s">
        <v>15</v>
      </c>
    </row>
    <row r="66" spans="1:4" x14ac:dyDescent="0.25">
      <c r="B66" s="22" t="s">
        <v>43</v>
      </c>
      <c r="C66" s="15">
        <f>C65*D39</f>
        <v>44.042531990565912</v>
      </c>
      <c r="D66" t="s">
        <v>15</v>
      </c>
    </row>
    <row r="68" spans="1:4" ht="15.75" x14ac:dyDescent="0.25">
      <c r="A68" s="1" t="s">
        <v>39</v>
      </c>
    </row>
    <row r="69" spans="1:4" ht="9" customHeight="1" x14ac:dyDescent="0.25">
      <c r="A69" s="1"/>
    </row>
    <row r="70" spans="1:4" ht="30" x14ac:dyDescent="0.25">
      <c r="B70" s="3" t="s">
        <v>65</v>
      </c>
      <c r="C70" s="3" t="s">
        <v>41</v>
      </c>
    </row>
    <row r="71" spans="1:4" x14ac:dyDescent="0.25">
      <c r="A71" t="s">
        <v>40</v>
      </c>
      <c r="B71" s="15">
        <f>C65</f>
        <v>40.405992651895332</v>
      </c>
      <c r="C71" s="15">
        <f>C66</f>
        <v>44.042531990565912</v>
      </c>
    </row>
    <row r="72" spans="1:4" x14ac:dyDescent="0.25">
      <c r="A72" t="s">
        <v>44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45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46</v>
      </c>
      <c r="B74" s="23">
        <f>-B17*D12*0.003413</f>
        <v>-28.682025329271848</v>
      </c>
      <c r="C74" s="23">
        <f>B74*D8</f>
        <v>-90.348379787206326</v>
      </c>
    </row>
    <row r="75" spans="1:4" x14ac:dyDescent="0.25">
      <c r="A75" s="35" t="s">
        <v>47</v>
      </c>
      <c r="B75" s="36">
        <f>SUM(B71:B74)</f>
        <v>34.8556261461529</v>
      </c>
      <c r="C75" s="37">
        <f>SUM(C71:C74)</f>
        <v>3.2100663815981534E-7</v>
      </c>
    </row>
    <row r="77" spans="1:4" x14ac:dyDescent="0.25">
      <c r="A77" t="s">
        <v>81</v>
      </c>
      <c r="C77" s="4">
        <f>IF(zero_energy_type=1, source_energy,site_energy)</f>
        <v>3.2100663815981534E-7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64</v>
      </c>
    </row>
    <row r="3" spans="1:1" x14ac:dyDescent="0.25">
      <c r="A3" t="s">
        <v>79</v>
      </c>
    </row>
    <row r="4" spans="1:1" x14ac:dyDescent="0.25">
      <c r="A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2015-11-10T05:54:52Z</dcterms:modified>
</cp:coreProperties>
</file>